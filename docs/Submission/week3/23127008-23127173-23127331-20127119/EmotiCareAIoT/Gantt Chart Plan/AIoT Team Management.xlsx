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roject\AIoT\AIoT-Server\docs\Submission\week3\23127008-23127173-23127331-20127119\Gantt Chart Plan\"/>
    </mc:Choice>
  </mc:AlternateContent>
  <xr:revisionPtr revIDLastSave="0" documentId="13_ncr:1_{7377A193-3AFD-45B9-AF3E-DB0D9E1670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duction" sheetId="1" r:id="rId1"/>
    <sheet name="Gant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3" i="2" l="1"/>
  <c r="O53" i="2" s="1"/>
  <c r="P53" i="2" s="1"/>
  <c r="M52" i="2"/>
  <c r="O52" i="2" s="1"/>
  <c r="P52" i="2" s="1"/>
  <c r="M51" i="2"/>
  <c r="O51" i="2" s="1"/>
  <c r="P51" i="2" s="1"/>
  <c r="M50" i="2"/>
  <c r="O50" i="2" s="1"/>
  <c r="P50" i="2" s="1"/>
  <c r="M49" i="2"/>
  <c r="O49" i="2" s="1"/>
  <c r="P49" i="2" s="1"/>
  <c r="M48" i="2"/>
  <c r="O48" i="2" s="1"/>
  <c r="P48" i="2" s="1"/>
  <c r="M47" i="2"/>
  <c r="O47" i="2" s="1"/>
  <c r="P47" i="2" s="1"/>
  <c r="M46" i="2"/>
  <c r="O46" i="2" s="1"/>
  <c r="P46" i="2" s="1"/>
  <c r="M45" i="2"/>
  <c r="O45" i="2" s="1"/>
  <c r="P45" i="2" s="1"/>
  <c r="M44" i="2"/>
  <c r="O44" i="2" s="1"/>
  <c r="P44" i="2" s="1"/>
  <c r="M43" i="2"/>
  <c r="O43" i="2" s="1"/>
  <c r="P43" i="2" s="1"/>
  <c r="O42" i="2"/>
  <c r="P42" i="2" s="1"/>
  <c r="M42" i="2"/>
  <c r="O41" i="2"/>
  <c r="P41" i="2" s="1"/>
  <c r="M41" i="2"/>
  <c r="M40" i="2"/>
  <c r="O40" i="2" s="1"/>
  <c r="P40" i="2" s="1"/>
  <c r="M38" i="2"/>
  <c r="O38" i="2" s="1"/>
  <c r="P38" i="2" s="1"/>
  <c r="M37" i="2"/>
  <c r="O37" i="2" s="1"/>
  <c r="P37" i="2" s="1"/>
  <c r="M36" i="2"/>
  <c r="O36" i="2" s="1"/>
  <c r="P36" i="2" s="1"/>
  <c r="M35" i="2"/>
  <c r="O35" i="2" s="1"/>
  <c r="P35" i="2" s="1"/>
  <c r="O34" i="2"/>
  <c r="P34" i="2" s="1"/>
  <c r="M34" i="2"/>
  <c r="O33" i="2"/>
  <c r="P33" i="2" s="1"/>
  <c r="M33" i="2"/>
  <c r="O32" i="2"/>
  <c r="P32" i="2" s="1"/>
  <c r="M32" i="2"/>
  <c r="O31" i="2"/>
  <c r="P31" i="2" s="1"/>
  <c r="M31" i="2"/>
  <c r="M29" i="2"/>
  <c r="O29" i="2" s="1"/>
  <c r="P29" i="2" s="1"/>
  <c r="M28" i="2"/>
  <c r="O28" i="2" s="1"/>
  <c r="P28" i="2" s="1"/>
  <c r="M27" i="2"/>
  <c r="O27" i="2" s="1"/>
  <c r="P27" i="2" s="1"/>
  <c r="M26" i="2"/>
  <c r="O26" i="2" s="1"/>
  <c r="P26" i="2" s="1"/>
  <c r="M25" i="2"/>
  <c r="O25" i="2" s="1"/>
  <c r="P25" i="2" s="1"/>
  <c r="O24" i="2"/>
  <c r="P24" i="2" s="1"/>
  <c r="M24" i="2"/>
  <c r="O23" i="2"/>
  <c r="P23" i="2" s="1"/>
  <c r="M23" i="2"/>
  <c r="M22" i="2"/>
  <c r="O22" i="2" s="1"/>
  <c r="M21" i="2"/>
  <c r="O21" i="2" s="1"/>
  <c r="M20" i="2"/>
  <c r="O20" i="2" s="1"/>
  <c r="M19" i="2"/>
  <c r="O19" i="2" s="1"/>
  <c r="R17" i="2"/>
  <c r="S17" i="2" s="1"/>
  <c r="Q17" i="2"/>
  <c r="Q16" i="2"/>
  <c r="P19" i="2" l="1"/>
  <c r="E8" i="2" s="1"/>
  <c r="D8" i="2"/>
  <c r="D9" i="2"/>
  <c r="P20" i="2"/>
  <c r="E9" i="2" s="1"/>
  <c r="P22" i="2"/>
  <c r="E10" i="2" s="1"/>
  <c r="D10" i="2"/>
  <c r="T17" i="2"/>
  <c r="S16" i="2"/>
  <c r="P21" i="2"/>
  <c r="E11" i="2" s="1"/>
  <c r="D11" i="2"/>
  <c r="R16" i="2"/>
  <c r="G11" i="2" l="1"/>
  <c r="F11" i="2"/>
  <c r="T16" i="2"/>
  <c r="U17" i="2"/>
  <c r="F10" i="2"/>
  <c r="G10" i="2"/>
  <c r="G9" i="2"/>
  <c r="F9" i="2"/>
  <c r="F8" i="2"/>
  <c r="G8" i="2"/>
  <c r="V17" i="2" l="1"/>
  <c r="U16" i="2"/>
  <c r="W17" i="2" l="1"/>
  <c r="V16" i="2"/>
  <c r="W16" i="2" l="1"/>
  <c r="X17" i="2"/>
  <c r="X16" i="2" l="1"/>
  <c r="Y17" i="2"/>
  <c r="Z17" i="2" l="1"/>
  <c r="Y16" i="2"/>
  <c r="Z16" i="2" l="1"/>
  <c r="AA17" i="2"/>
  <c r="AA16" i="2" l="1"/>
  <c r="AB17" i="2"/>
  <c r="AC17" i="2" l="1"/>
  <c r="AB16" i="2"/>
  <c r="AD17" i="2" l="1"/>
  <c r="AC16" i="2"/>
  <c r="AE17" i="2" l="1"/>
  <c r="AD16" i="2"/>
  <c r="AE16" i="2" l="1"/>
  <c r="AF17" i="2"/>
  <c r="AG17" i="2" l="1"/>
  <c r="AF16" i="2"/>
  <c r="AH17" i="2" l="1"/>
  <c r="AG16" i="2"/>
  <c r="AI17" i="2" l="1"/>
  <c r="AH16" i="2"/>
  <c r="AJ17" i="2" l="1"/>
  <c r="AI16" i="2"/>
  <c r="AJ16" i="2" l="1"/>
  <c r="AK17" i="2"/>
  <c r="AL17" i="2" l="1"/>
  <c r="AK16" i="2"/>
  <c r="AM17" i="2" l="1"/>
  <c r="AL16" i="2"/>
  <c r="AM16" i="2" l="1"/>
  <c r="AN17" i="2"/>
  <c r="AN16" i="2" l="1"/>
  <c r="AO17" i="2"/>
  <c r="AP17" i="2" l="1"/>
  <c r="AO16" i="2"/>
  <c r="AP16" i="2" l="1"/>
  <c r="AQ17" i="2"/>
  <c r="AQ16" i="2" l="1"/>
  <c r="AR17" i="2"/>
  <c r="AS17" i="2" l="1"/>
  <c r="AR16" i="2"/>
  <c r="AT17" i="2" l="1"/>
  <c r="AS16" i="2"/>
  <c r="AU17" i="2" l="1"/>
  <c r="AT16" i="2"/>
  <c r="AU16" i="2" l="1"/>
  <c r="AV17" i="2"/>
  <c r="AW17" i="2" l="1"/>
  <c r="AV16" i="2"/>
  <c r="AX17" i="2" l="1"/>
  <c r="AW16" i="2"/>
  <c r="AY17" i="2" l="1"/>
  <c r="AX16" i="2"/>
  <c r="AZ17" i="2" l="1"/>
  <c r="AY16" i="2"/>
  <c r="AZ16" i="2" l="1"/>
  <c r="BA17" i="2"/>
  <c r="BB17" i="2" l="1"/>
  <c r="BA16" i="2"/>
  <c r="BC17" i="2" l="1"/>
  <c r="BB16" i="2"/>
  <c r="BC16" i="2" l="1"/>
  <c r="BD17" i="2"/>
  <c r="BD16" i="2" l="1"/>
  <c r="BE17" i="2"/>
  <c r="BF17" i="2" l="1"/>
  <c r="BE16" i="2"/>
  <c r="BF16" i="2" l="1"/>
  <c r="BG17" i="2"/>
  <c r="BG16" i="2" l="1"/>
  <c r="BH17" i="2"/>
  <c r="BI17" i="2" l="1"/>
  <c r="BH16" i="2"/>
  <c r="BJ17" i="2" l="1"/>
  <c r="BI16" i="2"/>
  <c r="BK17" i="2" l="1"/>
  <c r="BJ16" i="2"/>
  <c r="BL17" i="2" l="1"/>
  <c r="BK16" i="2"/>
  <c r="BM17" i="2" l="1"/>
  <c r="BL16" i="2"/>
  <c r="BN17" i="2" l="1"/>
  <c r="BM16" i="2"/>
  <c r="BO17" i="2" l="1"/>
  <c r="BN16" i="2"/>
  <c r="BP17" i="2" l="1"/>
  <c r="BO16" i="2"/>
  <c r="BP16" i="2" l="1"/>
  <c r="BQ17" i="2"/>
  <c r="BR17" i="2" l="1"/>
  <c r="BQ16" i="2"/>
  <c r="BS17" i="2" l="1"/>
  <c r="BR16" i="2"/>
  <c r="BS16" i="2" l="1"/>
  <c r="BT17" i="2"/>
  <c r="BT16" i="2" l="1"/>
  <c r="BU17" i="2"/>
  <c r="BV17" i="2" l="1"/>
  <c r="BU16" i="2"/>
  <c r="BV16" i="2" l="1"/>
  <c r="BW17" i="2"/>
  <c r="BW16" i="2" l="1"/>
  <c r="BX17" i="2"/>
  <c r="BY17" i="2" l="1"/>
  <c r="BX16" i="2"/>
  <c r="BZ17" i="2" l="1"/>
  <c r="BY16" i="2"/>
  <c r="CA17" i="2" l="1"/>
  <c r="BZ16" i="2"/>
  <c r="CA16" i="2" l="1"/>
  <c r="CB17" i="2"/>
  <c r="CC17" i="2" l="1"/>
  <c r="CB16" i="2"/>
  <c r="CD17" i="2" l="1"/>
  <c r="CC16" i="2"/>
  <c r="CE17" i="2" l="1"/>
  <c r="CD16" i="2"/>
  <c r="CF17" i="2" l="1"/>
  <c r="CE16" i="2"/>
  <c r="CF16" i="2" l="1"/>
  <c r="CG17" i="2"/>
  <c r="CH17" i="2" l="1"/>
  <c r="CG16" i="2"/>
  <c r="CI17" i="2" l="1"/>
  <c r="CH16" i="2"/>
  <c r="CI16" i="2" l="1"/>
  <c r="CJ17" i="2"/>
  <c r="CJ16" i="2" l="1"/>
  <c r="CK17" i="2"/>
  <c r="CL17" i="2" l="1"/>
  <c r="CK16" i="2"/>
  <c r="CL16" i="2" l="1"/>
  <c r="CM17" i="2"/>
  <c r="CM16" i="2" l="1"/>
  <c r="CN17" i="2"/>
  <c r="CO17" i="2" l="1"/>
  <c r="CN16" i="2"/>
  <c r="CP17" i="2" l="1"/>
  <c r="CO16" i="2"/>
  <c r="CQ17" i="2" l="1"/>
  <c r="CP16" i="2"/>
  <c r="CQ16" i="2" l="1"/>
  <c r="CR17" i="2"/>
  <c r="CS17" i="2" l="1"/>
  <c r="CR16" i="2"/>
  <c r="CT17" i="2" l="1"/>
  <c r="CS16" i="2"/>
  <c r="CU17" i="2" l="1"/>
  <c r="CT16" i="2"/>
  <c r="CV17" i="2" l="1"/>
  <c r="CV16" i="2" s="1"/>
  <c r="CU16" i="2"/>
</calcChain>
</file>

<file path=xl/sharedStrings.xml><?xml version="1.0" encoding="utf-8"?>
<sst xmlns="http://schemas.openxmlformats.org/spreadsheetml/2006/main" count="208" uniqueCount="143">
  <si>
    <t>AIoT Team Infomation</t>
  </si>
  <si>
    <t>STT</t>
  </si>
  <si>
    <t>Member</t>
  </si>
  <si>
    <t>Student ID</t>
  </si>
  <si>
    <t>Phone Number</t>
  </si>
  <si>
    <t>Email</t>
  </si>
  <si>
    <t xml:space="preserve">Role </t>
  </si>
  <si>
    <t xml:space="preserve">Trần Hải Đức </t>
  </si>
  <si>
    <t>0916821170</t>
  </si>
  <si>
    <t>thduc23@clc.fitus.edu.vn</t>
  </si>
  <si>
    <t>Team Leader, Project Manager</t>
  </si>
  <si>
    <t>Nguyễn Trọng Tài</t>
  </si>
  <si>
    <t>0377425510</t>
  </si>
  <si>
    <t>nttai23@clc.fitus.edu.vn</t>
  </si>
  <si>
    <t>AI Engineering</t>
  </si>
  <si>
    <t>Nguyễn Công Chiến</t>
  </si>
  <si>
    <t>0369314655</t>
  </si>
  <si>
    <t>ncchien23@clc.fitus.edu.vn</t>
  </si>
  <si>
    <t>Hardware Engineering</t>
  </si>
  <si>
    <t>Phạm Nguyễn Gia Bảo</t>
  </si>
  <si>
    <t>0926127333</t>
  </si>
  <si>
    <t>pngbao20@clc.fitus.edu.vn</t>
  </si>
  <si>
    <t>Software Engineering</t>
  </si>
  <si>
    <t>AIoT Team Management</t>
  </si>
  <si>
    <t>PROJECT TITLE</t>
  </si>
  <si>
    <t>AIoT Project</t>
  </si>
  <si>
    <t>Group NAME</t>
  </si>
  <si>
    <t>Group 8 - HCMUS - AIoT Subject</t>
  </si>
  <si>
    <t>PROJECT MANAGER</t>
  </si>
  <si>
    <t>Tran Hai Duc</t>
  </si>
  <si>
    <t>DATE</t>
  </si>
  <si>
    <t>Thành viên</t>
  </si>
  <si>
    <t>Tổng trọng số đóng góp</t>
  </si>
  <si>
    <t>Tổng điểm số đóng góp</t>
  </si>
  <si>
    <t>Mức độ năng suất</t>
  </si>
  <si>
    <t>Thứ hạng</t>
  </si>
  <si>
    <t>Đức</t>
  </si>
  <si>
    <t>Tài</t>
  </si>
  <si>
    <t>Chiến</t>
  </si>
  <si>
    <t>Bảo</t>
  </si>
  <si>
    <t>WBS NUMBER</t>
  </si>
  <si>
    <t>Tiêu đề nhiệm vụ</t>
  </si>
  <si>
    <t>Chi tiết nhiệm vụ</t>
  </si>
  <si>
    <t>checklist mục cần hoàn thành, tiêu chí đánh giá</t>
  </si>
  <si>
    <t>Ghi chú</t>
  </si>
  <si>
    <t>Người thực hiện</t>
  </si>
  <si>
    <t>Độ ưu tiên</t>
  </si>
  <si>
    <t>Độ khó</t>
  </si>
  <si>
    <t>Ngày bắt đầu</t>
  </si>
  <si>
    <t>Ngày kết thúc</t>
  </si>
  <si>
    <t>Thời gian thực hiện</t>
  </si>
  <si>
    <t>Mức độ hoàn thành trên checklist yêu cầu</t>
  </si>
  <si>
    <t>Trọng số nhiệm vụ</t>
  </si>
  <si>
    <t>Điểm đóng góp</t>
  </si>
  <si>
    <t>PHASE ONE</t>
  </si>
  <si>
    <t>PHASE TWO</t>
  </si>
  <si>
    <t>PHASE THREE</t>
  </si>
  <si>
    <t>PHASE FOUR</t>
  </si>
  <si>
    <t xml:space="preserve">Khởi động dự án và lên ý tưởng </t>
  </si>
  <si>
    <t>Lên ý tưởng dự án</t>
  </si>
  <si>
    <t>Lên ý tưởng 1 idea cho dự án, idea cần có ít nhất 3 objectives, mỗi objective ít nhất 1 usecase
Phải có 1 usecase internet, 1 usecase edge AI</t>
  </si>
  <si>
    <t>Có 1 ý tưởng: 14%
Có đủ Objective: 14%
Có 1 usecase EdgeAI: 15%
Có 1 usecase Internet: 15%
Có file md mô tả chi tiết ý tường: 14%
Trình bày md đẹp: 14%
Push và tạo PR trên Github: 14%</t>
  </si>
  <si>
    <t>Idea: đồng hồ thông minh</t>
  </si>
  <si>
    <t>Idea: QQueue</t>
  </si>
  <si>
    <t>Không có, do lúc này chưa tham gia nhóm</t>
  </si>
  <si>
    <t>Idea: Thiết bị thông minh nhận biết buồn ngủ khi lái xe</t>
  </si>
  <si>
    <t>Thiết kế môi trường làm việc</t>
  </si>
  <si>
    <t>Tạo nhóm, tạo môi trường làm việc, tạo quy trình làm việc nhóm</t>
  </si>
  <si>
    <t>Có nhóm messenger để trao đổi: 25%
Có discord để meeting: 25%
Có drive để lưu trữ file làm việc: 25%
Có Github để lập trình: 25%</t>
  </si>
  <si>
    <t>Nghiên cứu EdgeAI dựa trên ý tưởng đã thảo luận</t>
  </si>
  <si>
    <t>Ý tưởng: Đồng hồ thông minh hỗ trợ học tập và cải thiện giấc ngủ
Nghiên cứu, xác định bài toán giấc ngủ</t>
  </si>
  <si>
    <t>Có Input: 25%
Có Output: 25%
Có Pipeline cơ bản: 15%
Có Bài báo tham khảo?: 20%
Trình bày dạng md: 10%
Push và tạo PR trên Github: 5%</t>
  </si>
  <si>
    <t>Thiết kế hệ thống ServerAI cơ bản</t>
  </si>
  <si>
    <t>Thiết kế hệ thống backend cơ bản với 1 bảng User và 4 API CRUD cơ bản</t>
  </si>
  <si>
    <t>Có hệ thống cơ bản với các tool tự chọn: 20%
Kết nối DB: 20%
Có bảng User với 2 user mẫu: 25%
Có API test thành công: 25%
Push và tạo PR trên Github: 10%</t>
  </si>
  <si>
    <t>Nghiên cứu Hardware và giá cả thị trường dựa trên ý tưởng đã thảo luận</t>
  </si>
  <si>
    <t>Ý tưởng: Đồng hồ thông minh hỗ trợ học tập và cải thiện giấc ngủ</t>
  </si>
  <si>
    <t>Có nguồn tham khảo source code, thiết kế phần cứng: 5%
Nghiên cứu cách thiết kế các luồng phần cứng: 30%
Trình bày nghiên cứu dạng md: 5%
Nghiên cứu các phần cứng sẽ sử dụng: 30%
Có bảng giá tiền các thiết bị phần cứng: 30%</t>
  </si>
  <si>
    <t>1.10</t>
  </si>
  <si>
    <t>Viết Specification dựa trên ý tưởng đã thảo luận</t>
  </si>
  <si>
    <t>Viết PDF Specification dựa trên ý tưởng đã plan</t>
  </si>
  <si>
    <t>Có mục Background: 10%
Có mục Architecture &amp; Hardware: 10%
Có mục Objective: 10%
Có mục EdgeAI: 10%
Có mục Internet: 10%
Có mục UserManual: 10%
Có mục Functional, NonFunctional Requirement: 10%
Có mục Reference: 10%
Trình bày PDF đẹp: 10%
Push document lên Github: 10%</t>
  </si>
  <si>
    <t>1.11</t>
  </si>
  <si>
    <t>Làm Slide dựa trên ý tưởng đã thảo luận</t>
  </si>
  <si>
    <t>Làm Slide dựa trên ý tưởng đã plan</t>
  </si>
  <si>
    <t>Có slide Background: 10%
Có slide Architecture &amp; Hardware: 10%
Có slide Objective: 10%
Có slide EdgeAI: 10%
Có slide Internet: 10%
Có slide UserManual: 10%
Có slide Functional, NonFunctional Requirement: 10%
Có slide Reference: 10%
Trình bày PDF/PPT đẹp: 10%
Push document lên Github: 10%</t>
  </si>
  <si>
    <t>1.12</t>
  </si>
  <si>
    <t>Hoàn thành bản Gant Chart Phân công công việc</t>
  </si>
  <si>
    <t>Thiết kế phân công công việc dựa trên template Gantt Chart</t>
  </si>
  <si>
    <t>Có bảng Gantt Chart: 50%
Có bảng đánh giá từng thành viên: 50%</t>
  </si>
  <si>
    <t>Điều chỉnh dự án theo góp ý và nghiên cứu hệ thống</t>
  </si>
  <si>
    <t>Nghiên cứu giải pháp cho bài toán đánh giá giấc ngủ</t>
  </si>
  <si>
    <t>Tìm các bài báo sử dụng dùng để giải quyết bài toán đã mô tả chi tiết</t>
  </si>
  <si>
    <t>Có 2 bài báo nghiên cứu giải pháp: 40%
Trình bày đầy đủ 1 quy trình cách cài đặt phương pháp ở dạng md: 50%
Push và tạo PR trên Github: 10%</t>
  </si>
  <si>
    <t>Tìm dataset liên quan để chuẩn bị cài đặt</t>
  </si>
  <si>
    <t>Tìm dataset dựa trên phát biểu bài toán</t>
  </si>
  <si>
    <t>Có link dataset: 10%
Mô tả dataset dưới file md: 80%
Push và tạo PR trên Github: 10%</t>
  </si>
  <si>
    <t xml:space="preserve">Mua phần cứng theo dự án </t>
  </si>
  <si>
    <t>Dựa theo danh sách phần cứng cần mua trong doc, mua thiết bị để cài đặt</t>
  </si>
  <si>
    <t>Mua ESP32-S: 70%
Thu thập các cảm ứng, thiết bị đã có sẵn (INMP, TFT, cảm biến ánh sáng): 25%
Cảm biến nhiệt độ: 5%</t>
  </si>
  <si>
    <t>Cài đặt các class cơ bản cho các thiết bị cơ bản</t>
  </si>
  <si>
    <t>Thiết kế hệ thống phần cứng cơ bản, cài các nút bấm</t>
  </si>
  <si>
    <t>Nạp code lần đầu tiên: 50%
Có class nút bấm, và test thành công chức năng bấm nút: 30%
Push code lên Github: 20%</t>
  </si>
  <si>
    <t>Thiết kế DB theo dự án</t>
  </si>
  <si>
    <t>Dựa vào các objective, thiết kế các DB hoàn chỉnh</t>
  </si>
  <si>
    <t>Có các schema của UC01 - Pomodoro: 16%
Có các schema của UC02 - Seminar: 16%
Có các schema của UC03 - Alarm: 16%
Có các schema của UC04 - EdgeAI Sleep: 16%
Có các schema của UC05 - Game: 16%
Có các schema của UC06 - Music: 16%
Push và Tạo PR github: 4%</t>
  </si>
  <si>
    <t>Đây là hệ thống cũ</t>
  </si>
  <si>
    <t>Cài đặt API theo dự án</t>
  </si>
  <si>
    <t>Dựa vào các objective, thiết kế các API hoàn chỉnh</t>
  </si>
  <si>
    <t>Có các API của UC01 - Pomodoro: 16%
Có các API của UC02 - Seminar: 16%
Có các API của UC03 - Alarm: 16%
Có các API của UC04 - EdgeAI Sleep: 16%
Có các API của UC05 - Game: 16%
Có các API của UC06 - Music: 16%
Push và Tạo PR github: 4%</t>
  </si>
  <si>
    <t>Viết lại Specification theo góp ý đợt 1</t>
  </si>
  <si>
    <t>Dựa vào các góp ý của giảng viên, sửa lại specification</t>
  </si>
  <si>
    <t>Sửa lại SMART Objective: 10%
Sửa lại các Objective cho liên quan đến nhau: 30%
Bổ sung mục tiêu Internet: 40%
Bổ sung danh sách lịch sử chỉnh sửa: 10%
Có bản PDF hoàn chỉnh sau chỉnh sửa: 10%</t>
  </si>
  <si>
    <t>Sửa lại Slide theo góp ý đợt 1</t>
  </si>
  <si>
    <t>Dựa vào các góp ý của giảng viên, sửa lại slide</t>
  </si>
  <si>
    <t>Sửa lại SMART Objective: 10%
Sửa lại các Objective cho liên quan đến nhau: 30%
Bổ sung mục tiêu Internet: 40%
Bổ sung danh sách lịch sử chỉnh sửa: 10%
Có bản PDF/PPT hoàn chỉnh sau chỉnh sửa: 10%</t>
  </si>
  <si>
    <t>Điều chỉnh dự án theo góp ý đợt 2 và cài đặt cơ bản. Hoàn thành bản specification final</t>
  </si>
  <si>
    <t>Lên ý tưởng sửa lại mục đích, mục tiêu dự án theo góp ý</t>
  </si>
  <si>
    <t>Mỗi người lên idea sửa lại 3 SMART objective theo ý tưởng đồng hồ thông minh hiện tại</t>
  </si>
  <si>
    <t>Có 1 ý tưởng: 25%
Có đủ Objective: 25%
Có 1 usecase EdgeAI: 25%
Có 1 usecase Internet: 25%</t>
  </si>
  <si>
    <t>Tìm các bài báo sử dụng dùng để giải quyết bài toán Speech Emotion Recognition đã mô tả chi tiết</t>
  </si>
  <si>
    <t>Nghiên cứu giải pháp cho bài toán Recognition Voice Emotion</t>
  </si>
  <si>
    <t>Có 2 bài báo nghiên cứu giải pháp: 20%
Phát biểu được đầy đủ bài toán - Input: 10%
Phát biểu được đầy đủ bài toán - Input: 10%
Trình bày đầy đủ 1 quy trình cách cài đặt phương pháp: 40%
Trình bày đẹp ở dạng md: 10%
Push và tạo PR trên Github: 10%</t>
  </si>
  <si>
    <t>Có các schema của UC01 - Speech Emotion Recognition: 16%
Có các schema của UC02 - Recommendation: 16%
Có các schema của UC03 - Lựa chọn bài hát hoặc podcast theo chủ đích: 16%
Có các schema của UC04 - Trò chuyện hỗ trợ cảm xúc: 16%
Có các schema của UC05 - Thống kê và phân tích xu hướng cảm xúc: 16%
Push và Tạo PR github: 10%</t>
  </si>
  <si>
    <t>Có các API của UC01 - Speech Emotion Recognition: 16%
Có các API của UC02 - Recommendation: 16%
Có các API của UC03 - Lựa chọn bài hát hoặc podcast theo chủ đích: 16%
Có các API của UC04 - Trò chuyện hỗ trợ cảm xúc: 16%
Có các API của UC05 - Thống kê và phân tích xu hướng cảm xúc: 16%
Push và Tạo PR github: 10%</t>
  </si>
  <si>
    <t>Cài đặt các class cho các module còn lại</t>
  </si>
  <si>
    <t>Cài đặt và test các module như TFT, INMP441, Button, kết hợp các phần cứng</t>
  </si>
  <si>
    <t>Test được TFT: 40%
Test được INMP441: 40% 
Test 3 module kết hợp với nhau: 20%</t>
  </si>
  <si>
    <t>3.10</t>
  </si>
  <si>
    <t xml:space="preserve">Nghiên cứu module loa (module phát sinh trong ý tưởng mới) </t>
  </si>
  <si>
    <t>Thiết kế hệ thống phần cứng cơ bản</t>
  </si>
  <si>
    <t>Có nguồn research phần cứng: 10%
Trình bày cách sử dụng loa ở md: 80%
Push và Tạo PR github ở doc/Hardware: 10%</t>
  </si>
  <si>
    <t>3.11</t>
  </si>
  <si>
    <t>Viết lại Specification theo góp ý đợt 2</t>
  </si>
  <si>
    <t>3.12</t>
  </si>
  <si>
    <t>Sửa lại Slide theo góp ý đợt 2</t>
  </si>
  <si>
    <t>3.13</t>
  </si>
  <si>
    <t>Sửa lại Gantt Chart theo góp ý đợt 2</t>
  </si>
  <si>
    <t>Có bảng Gantt Chart: 30%
Có bảng đánh giá từng thành viên: 30%
Có tiêu chí đánh giá từng task: 40%</t>
  </si>
  <si>
    <t>3.14</t>
  </si>
  <si>
    <t>Nghiên cứu cách tích hợp mô hình vào phần cứng</t>
  </si>
  <si>
    <t>Nghiên cứu cách train và export model ra dạng tflite
nghiên cứu cách tích hợp tflite vào ESP32
Làm 2 bản md nghiên cứu 2 mục trên trong docs/ai trên github</t>
  </si>
  <si>
    <t>Có bản md nghiên cứu cách train và export: 40%
Có bản md nghiên cứu cách tích hợp ESP32: 40%
Push và tạo PR trên github: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</si>
</sst>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ddd"/>
    <numFmt numFmtId="166" formatCode="&quot;$&quot;#,##0.00"/>
  </numFmts>
  <fonts count="33" x14ac:knownFonts="1">
    <font>
      <sz val="10"/>
      <color rgb="FF000000"/>
      <name val="Arial"/>
    </font>
    <font>
      <b/>
      <sz val="30"/>
      <color rgb="FF0B5394"/>
      <name val="Roboto"/>
    </font>
    <font>
      <sz val="10"/>
      <name val="Arial"/>
    </font>
    <font>
      <b/>
      <sz val="12"/>
      <name val="Roboto"/>
    </font>
    <font>
      <sz val="12"/>
      <name val="Roboto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4"/>
      <color rgb="FF000000"/>
      <name val="Roboto"/>
    </font>
    <font>
      <sz val="14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12"/>
      <color rgb="FFFFFFFF"/>
      <name val="Roboto"/>
    </font>
    <font>
      <b/>
      <sz val="10"/>
      <color rgb="FFFFFFFF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DD7EE"/>
        <bgColor rgb="FFBDD7EE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73C79E"/>
        <bgColor rgb="FF73C79E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4" fillId="5" borderId="0" xfId="0" applyFont="1" applyFill="1" applyAlignment="1">
      <alignment horizontal="center"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29" fillId="17" borderId="15" xfId="0" applyFont="1" applyFill="1" applyBorder="1" applyAlignment="1">
      <alignment vertical="center" wrapText="1"/>
    </xf>
    <xf numFmtId="49" fontId="31" fillId="4" borderId="16" xfId="0" applyNumberFormat="1" applyFont="1" applyFill="1" applyBorder="1" applyAlignment="1">
      <alignment horizontal="left" vertical="center" wrapText="1"/>
    </xf>
    <xf numFmtId="0" fontId="31" fillId="0" borderId="16" xfId="0" applyFont="1" applyBorder="1" applyAlignment="1">
      <alignment vertical="center" wrapText="1"/>
    </xf>
    <xf numFmtId="0" fontId="31" fillId="0" borderId="16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center" vertical="center" wrapText="1"/>
    </xf>
    <xf numFmtId="164" fontId="31" fillId="0" borderId="16" xfId="0" applyNumberFormat="1" applyFont="1" applyBorder="1" applyAlignment="1">
      <alignment horizontal="left" vertical="center" wrapText="1"/>
    </xf>
    <xf numFmtId="9" fontId="31" fillId="0" borderId="16" xfId="0" applyNumberFormat="1" applyFont="1" applyBorder="1" applyAlignment="1">
      <alignment horizontal="center" vertical="center" wrapText="1"/>
    </xf>
    <xf numFmtId="9" fontId="31" fillId="21" borderId="16" xfId="0" applyNumberFormat="1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31" fillId="0" borderId="16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2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wrapText="1"/>
    </xf>
    <xf numFmtId="0" fontId="20" fillId="2" borderId="10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4" fontId="20" fillId="0" borderId="10" xfId="0" applyNumberFormat="1" applyFont="1" applyBorder="1" applyAlignment="1">
      <alignment horizontal="left" vertical="center" wrapText="1"/>
    </xf>
    <xf numFmtId="164" fontId="20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 wrapText="1"/>
    </xf>
    <xf numFmtId="0" fontId="23" fillId="5" borderId="11" xfId="0" applyFont="1" applyFill="1" applyBorder="1" applyAlignment="1">
      <alignment horizontal="left" wrapText="1"/>
    </xf>
    <xf numFmtId="0" fontId="23" fillId="5" borderId="3" xfId="0" applyFont="1" applyFill="1" applyBorder="1" applyAlignment="1">
      <alignment horizontal="left" wrapText="1"/>
    </xf>
    <xf numFmtId="0" fontId="23" fillId="5" borderId="4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4" borderId="7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22" fillId="2" borderId="1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5" fillId="6" borderId="13" xfId="0" applyFont="1" applyFill="1" applyBorder="1" applyAlignment="1">
      <alignment horizontal="center"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25" fillId="8" borderId="13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" fillId="0" borderId="13" xfId="0" applyFont="1" applyBorder="1" applyAlignment="1">
      <alignment wrapText="1"/>
    </xf>
    <xf numFmtId="0" fontId="27" fillId="0" borderId="0" xfId="0" applyFont="1" applyAlignment="1">
      <alignment vertical="center" wrapText="1"/>
    </xf>
    <xf numFmtId="165" fontId="28" fillId="10" borderId="13" xfId="0" applyNumberFormat="1" applyFont="1" applyFill="1" applyBorder="1" applyAlignment="1">
      <alignment horizontal="center" vertical="center" wrapText="1"/>
    </xf>
    <xf numFmtId="165" fontId="28" fillId="11" borderId="13" xfId="0" applyNumberFormat="1" applyFont="1" applyFill="1" applyBorder="1" applyAlignment="1">
      <alignment horizontal="center" vertical="center" wrapText="1"/>
    </xf>
    <xf numFmtId="165" fontId="28" fillId="12" borderId="13" xfId="0" applyNumberFormat="1" applyFont="1" applyFill="1" applyBorder="1" applyAlignment="1">
      <alignment horizontal="center" vertical="center" wrapText="1"/>
    </xf>
    <xf numFmtId="165" fontId="28" fillId="13" borderId="13" xfId="0" applyNumberFormat="1" applyFont="1" applyFill="1" applyBorder="1" applyAlignment="1">
      <alignment horizontal="center" vertical="center" wrapText="1"/>
    </xf>
    <xf numFmtId="165" fontId="28" fillId="14" borderId="14" xfId="0" applyNumberFormat="1" applyFont="1" applyFill="1" applyBorder="1" applyAlignment="1">
      <alignment horizontal="center" vertical="center" wrapText="1"/>
    </xf>
    <xf numFmtId="165" fontId="28" fillId="11" borderId="14" xfId="0" applyNumberFormat="1" applyFont="1" applyFill="1" applyBorder="1" applyAlignment="1">
      <alignment horizontal="center" vertical="center" wrapText="1"/>
    </xf>
    <xf numFmtId="165" fontId="28" fillId="15" borderId="14" xfId="0" applyNumberFormat="1" applyFont="1" applyFill="1" applyBorder="1" applyAlignment="1">
      <alignment horizontal="center" vertical="center" wrapText="1"/>
    </xf>
    <xf numFmtId="165" fontId="28" fillId="16" borderId="14" xfId="0" applyNumberFormat="1" applyFont="1" applyFill="1" applyBorder="1" applyAlignment="1">
      <alignment horizontal="center" vertical="center" wrapText="1"/>
    </xf>
    <xf numFmtId="0" fontId="29" fillId="17" borderId="0" xfId="0" applyFont="1" applyFill="1" applyAlignment="1">
      <alignment horizontal="center" vertical="center" wrapText="1"/>
    </xf>
    <xf numFmtId="166" fontId="29" fillId="17" borderId="0" xfId="0" applyNumberFormat="1" applyFont="1" applyFill="1" applyAlignment="1">
      <alignment horizontal="center" vertical="center" wrapText="1"/>
    </xf>
    <xf numFmtId="3" fontId="29" fillId="17" borderId="0" xfId="0" applyNumberFormat="1" applyFont="1" applyFill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2" fillId="0" borderId="16" xfId="0" applyFont="1" applyBorder="1" applyAlignment="1">
      <alignment wrapText="1"/>
    </xf>
    <xf numFmtId="9" fontId="32" fillId="0" borderId="17" xfId="0" applyNumberFormat="1" applyFont="1" applyBorder="1" applyAlignment="1">
      <alignment horizontal="center" vertical="center" wrapText="1"/>
    </xf>
    <xf numFmtId="166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18" borderId="18" xfId="0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 wrapText="1"/>
    </xf>
    <xf numFmtId="0" fontId="32" fillId="19" borderId="18" xfId="0" applyFont="1" applyFill="1" applyBorder="1" applyAlignment="1">
      <alignment horizontal="center" vertical="center" wrapText="1"/>
    </xf>
    <xf numFmtId="0" fontId="32" fillId="20" borderId="18" xfId="0" applyFont="1" applyFill="1" applyBorder="1" applyAlignment="1">
      <alignment horizontal="center" vertical="center" wrapText="1"/>
    </xf>
    <xf numFmtId="9" fontId="32" fillId="0" borderId="19" xfId="0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29" fillId="17" borderId="15" xfId="0" applyFont="1" applyFill="1" applyBorder="1" applyAlignment="1">
      <alignment vertical="center" wrapText="1"/>
    </xf>
    <xf numFmtId="0" fontId="2" fillId="0" borderId="15" xfId="0" applyFont="1" applyBorder="1" applyAlignment="1">
      <alignment wrapText="1"/>
    </xf>
    <xf numFmtId="0" fontId="2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B5:G11"/>
  <sheetViews>
    <sheetView workbookViewId="0"/>
  </sheetViews>
  <sheetFormatPr defaultColWidth="12.6640625" defaultRowHeight="15.75" customHeight="1" x14ac:dyDescent="0.25"/>
  <cols>
    <col min="2" max="2" width="6.44140625" customWidth="1"/>
    <col min="3" max="3" width="23.44140625" bestFit="1" customWidth="1"/>
    <col min="4" max="4" width="18" customWidth="1"/>
    <col min="5" max="5" width="20" customWidth="1"/>
    <col min="6" max="6" width="28.21875" customWidth="1"/>
    <col min="7" max="7" width="28" customWidth="1"/>
  </cols>
  <sheetData>
    <row r="5" spans="2:7" x14ac:dyDescent="0.25">
      <c r="B5" s="22" t="s">
        <v>0</v>
      </c>
      <c r="C5" s="23"/>
      <c r="D5" s="23"/>
      <c r="E5" s="23"/>
      <c r="F5" s="23"/>
      <c r="G5" s="23"/>
    </row>
    <row r="7" spans="2:7" ht="15.75" customHeight="1" x14ac:dyDescent="0.3"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</row>
    <row r="8" spans="2:7" ht="15.75" customHeight="1" x14ac:dyDescent="0.3">
      <c r="B8" s="4">
        <v>1</v>
      </c>
      <c r="C8" s="5" t="s">
        <v>7</v>
      </c>
      <c r="D8" s="5">
        <v>23127173</v>
      </c>
      <c r="E8" s="5" t="s">
        <v>8</v>
      </c>
      <c r="F8" s="5" t="s">
        <v>9</v>
      </c>
      <c r="G8" s="6" t="s">
        <v>10</v>
      </c>
    </row>
    <row r="9" spans="2:7" ht="15.75" customHeight="1" x14ac:dyDescent="0.3">
      <c r="B9" s="4">
        <v>2</v>
      </c>
      <c r="C9" s="5" t="s">
        <v>11</v>
      </c>
      <c r="D9" s="5">
        <v>23127008</v>
      </c>
      <c r="E9" s="5" t="s">
        <v>12</v>
      </c>
      <c r="F9" s="5" t="s">
        <v>13</v>
      </c>
      <c r="G9" s="6" t="s">
        <v>14</v>
      </c>
    </row>
    <row r="10" spans="2:7" ht="15.75" customHeight="1" x14ac:dyDescent="0.3">
      <c r="B10" s="4">
        <v>3</v>
      </c>
      <c r="C10" s="5" t="s">
        <v>15</v>
      </c>
      <c r="D10" s="5">
        <v>23127331</v>
      </c>
      <c r="E10" s="5" t="s">
        <v>16</v>
      </c>
      <c r="F10" s="5" t="s">
        <v>17</v>
      </c>
      <c r="G10" s="6" t="s">
        <v>18</v>
      </c>
    </row>
    <row r="11" spans="2:7" ht="15.75" customHeight="1" x14ac:dyDescent="0.3">
      <c r="B11" s="7">
        <v>4</v>
      </c>
      <c r="C11" s="8" t="s">
        <v>19</v>
      </c>
      <c r="D11" s="8">
        <v>20127119</v>
      </c>
      <c r="E11" s="9" t="s">
        <v>20</v>
      </c>
      <c r="F11" s="8" t="s">
        <v>21</v>
      </c>
      <c r="G11" s="10" t="s">
        <v>22</v>
      </c>
    </row>
  </sheetData>
  <mergeCells count="1"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DK1032"/>
  <sheetViews>
    <sheetView showGridLines="0" tabSelected="1" workbookViewId="0">
      <selection activeCell="B31" sqref="B31"/>
    </sheetView>
  </sheetViews>
  <sheetFormatPr defaultColWidth="12.6640625" defaultRowHeight="15.75" customHeight="1" outlineLevelRow="1" x14ac:dyDescent="0.25"/>
  <cols>
    <col min="1" max="1" width="4.21875" style="36" customWidth="1"/>
    <col min="2" max="2" width="6.109375" style="36" customWidth="1"/>
    <col min="3" max="4" width="40.88671875" style="36" customWidth="1"/>
    <col min="5" max="5" width="32.44140625" style="36" customWidth="1"/>
    <col min="6" max="6" width="29.77734375" style="36" customWidth="1"/>
    <col min="7" max="8" width="22.44140625" style="36" customWidth="1"/>
    <col min="9" max="9" width="12.21875" style="36" customWidth="1"/>
    <col min="10" max="10" width="10.44140625" style="36" customWidth="1"/>
    <col min="11" max="11" width="14.6640625" style="36" customWidth="1"/>
    <col min="12" max="12" width="16.21875" style="36" customWidth="1"/>
    <col min="13" max="13" width="17.21875" style="36" customWidth="1"/>
    <col min="14" max="16" width="25.33203125" style="36" customWidth="1"/>
    <col min="17" max="82" width="3" style="36" customWidth="1"/>
    <col min="83" max="115" width="3.33203125" style="36" customWidth="1"/>
    <col min="116" max="16384" width="12.6640625" style="36"/>
  </cols>
  <sheetData>
    <row r="1" spans="1:115" ht="21" customHeight="1" x14ac:dyDescent="0.25">
      <c r="A1" s="27"/>
      <c r="B1" s="28"/>
      <c r="C1" s="29"/>
      <c r="D1" s="29"/>
      <c r="E1" s="29"/>
      <c r="F1" s="29"/>
      <c r="G1" s="29"/>
      <c r="H1" s="29"/>
      <c r="I1" s="29"/>
      <c r="J1" s="29"/>
      <c r="K1" s="29"/>
      <c r="L1" s="30"/>
      <c r="M1" s="30"/>
      <c r="N1" s="29"/>
      <c r="O1" s="29"/>
      <c r="P1" s="29"/>
      <c r="Q1" s="31"/>
      <c r="R1" s="32"/>
      <c r="S1" s="33"/>
      <c r="T1" s="34"/>
      <c r="U1" s="33"/>
      <c r="V1" s="33"/>
      <c r="W1" s="33"/>
      <c r="X1" s="33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35"/>
      <c r="AS1" s="35"/>
      <c r="AT1" s="35"/>
      <c r="AU1" s="35"/>
      <c r="AV1" s="35"/>
      <c r="AW1" s="35"/>
      <c r="AX1" s="35"/>
      <c r="AY1" s="35"/>
      <c r="AZ1" s="35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</row>
    <row r="2" spans="1:115" ht="40.200000000000003" x14ac:dyDescent="0.25">
      <c r="A2" s="27"/>
      <c r="B2" s="37" t="s">
        <v>23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  <c r="O2" s="39"/>
      <c r="P2" s="39"/>
      <c r="Q2" s="40"/>
      <c r="R2" s="38"/>
      <c r="S2" s="38"/>
      <c r="T2" s="38"/>
      <c r="U2" s="38"/>
      <c r="V2" s="38"/>
      <c r="W2" s="38"/>
      <c r="X2" s="38"/>
      <c r="Y2" s="25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41"/>
      <c r="AU2" s="41"/>
      <c r="AV2" s="41"/>
      <c r="AW2" s="41"/>
      <c r="AX2" s="41"/>
      <c r="AY2" s="41"/>
      <c r="AZ2" s="41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</row>
    <row r="3" spans="1:115" ht="21" customHeight="1" x14ac:dyDescent="0.25">
      <c r="A3" s="27"/>
      <c r="B3" s="42"/>
      <c r="C3" s="42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  <c r="R3" s="44"/>
      <c r="S3" s="44"/>
      <c r="T3" s="44"/>
      <c r="U3" s="45"/>
      <c r="V3" s="45"/>
      <c r="W3" s="45"/>
      <c r="X3" s="45"/>
      <c r="Y3" s="45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35"/>
      <c r="AS3" s="35"/>
      <c r="AT3" s="35"/>
      <c r="AU3" s="35"/>
      <c r="AV3" s="35"/>
      <c r="AW3" s="35"/>
      <c r="AX3" s="35"/>
      <c r="AY3" s="35"/>
      <c r="AZ3" s="35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</row>
    <row r="4" spans="1:115" ht="21" customHeight="1" x14ac:dyDescent="0.7">
      <c r="A4" s="27"/>
      <c r="B4" s="46" t="s">
        <v>24</v>
      </c>
      <c r="C4" s="47"/>
      <c r="D4" s="48"/>
      <c r="E4" s="48"/>
      <c r="F4" s="48"/>
      <c r="G4" s="48"/>
      <c r="H4" s="49" t="s">
        <v>25</v>
      </c>
      <c r="I4" s="47"/>
      <c r="J4" s="47"/>
      <c r="K4" s="47"/>
      <c r="L4" s="47"/>
      <c r="M4" s="47"/>
      <c r="N4" s="50"/>
      <c r="O4" s="50"/>
      <c r="P4" s="50"/>
      <c r="Q4" s="46" t="s">
        <v>26</v>
      </c>
      <c r="R4" s="47"/>
      <c r="S4" s="47"/>
      <c r="T4" s="47"/>
      <c r="U4" s="47"/>
      <c r="V4" s="47"/>
      <c r="W4" s="47"/>
      <c r="X4" s="47"/>
      <c r="Y4" s="47"/>
      <c r="Z4" s="51"/>
      <c r="AA4" s="52" t="s">
        <v>27</v>
      </c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53"/>
      <c r="AR4" s="35"/>
      <c r="AS4" s="35"/>
      <c r="AT4" s="35"/>
      <c r="AU4" s="35"/>
      <c r="AV4" s="35"/>
      <c r="AW4" s="35"/>
      <c r="AX4" s="35"/>
      <c r="AY4" s="35"/>
      <c r="AZ4" s="35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</row>
    <row r="5" spans="1:115" ht="21" customHeight="1" x14ac:dyDescent="0.7">
      <c r="A5" s="27"/>
      <c r="B5" s="46" t="s">
        <v>28</v>
      </c>
      <c r="C5" s="47"/>
      <c r="D5" s="54"/>
      <c r="E5" s="54"/>
      <c r="F5" s="54"/>
      <c r="G5" s="54"/>
      <c r="H5" s="55" t="s">
        <v>29</v>
      </c>
      <c r="I5" s="47"/>
      <c r="J5" s="47"/>
      <c r="K5" s="47"/>
      <c r="L5" s="47"/>
      <c r="M5" s="47"/>
      <c r="N5" s="56"/>
      <c r="O5" s="56"/>
      <c r="P5" s="56"/>
      <c r="Q5" s="46" t="s">
        <v>30</v>
      </c>
      <c r="R5" s="47"/>
      <c r="S5" s="47"/>
      <c r="T5" s="47"/>
      <c r="U5" s="47"/>
      <c r="V5" s="47"/>
      <c r="W5" s="47"/>
      <c r="X5" s="47"/>
      <c r="Y5" s="47"/>
      <c r="Z5" s="57"/>
      <c r="AA5" s="58">
        <v>46165</v>
      </c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59"/>
      <c r="AQ5" s="53"/>
      <c r="AR5" s="27"/>
      <c r="AS5" s="27"/>
      <c r="AT5" s="27"/>
      <c r="AU5" s="27"/>
      <c r="AV5" s="27"/>
      <c r="AW5" s="27"/>
      <c r="AX5" s="27"/>
      <c r="AY5" s="27"/>
      <c r="AZ5" s="60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spans="1:115" ht="21" customHeight="1" x14ac:dyDescent="0.25">
      <c r="A6" s="61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  <c r="N6" s="63"/>
      <c r="O6" s="63"/>
      <c r="P6" s="63"/>
      <c r="Q6" s="62"/>
      <c r="R6" s="62"/>
      <c r="S6" s="62"/>
      <c r="T6" s="62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</row>
    <row r="7" spans="1:115" ht="21" customHeight="1" x14ac:dyDescent="0.3">
      <c r="B7" s="64" t="s">
        <v>1</v>
      </c>
      <c r="C7" s="64" t="s">
        <v>31</v>
      </c>
      <c r="D7" s="65" t="s">
        <v>32</v>
      </c>
      <c r="E7" s="65" t="s">
        <v>33</v>
      </c>
      <c r="F7" s="65" t="s">
        <v>34</v>
      </c>
      <c r="G7" s="66" t="s">
        <v>35</v>
      </c>
      <c r="I7" s="62"/>
      <c r="J7" s="62"/>
      <c r="K7" s="62"/>
      <c r="L7" s="62"/>
      <c r="M7" s="62"/>
      <c r="N7" s="63"/>
      <c r="O7" s="63"/>
      <c r="P7" s="63"/>
      <c r="Q7" s="63"/>
      <c r="R7" s="62"/>
      <c r="S7" s="62"/>
      <c r="T7" s="62"/>
      <c r="U7" s="62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</row>
    <row r="8" spans="1:115" ht="21" customHeight="1" x14ac:dyDescent="0.3">
      <c r="B8" s="67">
        <v>1</v>
      </c>
      <c r="C8" s="68" t="s">
        <v>36</v>
      </c>
      <c r="D8" s="68">
        <f t="shared" ref="D8:D11" si="0">SUMIF($H:$H,C8,$O:$O)</f>
        <v>924.59999999999991</v>
      </c>
      <c r="E8" s="68">
        <f t="shared" ref="E8:E11" si="1">SUMIF($H:$H,C8,$P:$P)</f>
        <v>924.59999999999991</v>
      </c>
      <c r="F8" s="68">
        <f t="shared" ref="F8:F11" si="2">E8/D8</f>
        <v>1</v>
      </c>
      <c r="G8" s="69">
        <f t="shared" ref="G8:G11" si="3">RANK(E8,$E$8:$E$11,0)</f>
        <v>1</v>
      </c>
      <c r="I8" s="62"/>
      <c r="J8" s="62"/>
      <c r="K8" s="62"/>
      <c r="L8" s="62"/>
      <c r="M8" s="62"/>
      <c r="N8" s="63"/>
      <c r="O8" s="63"/>
      <c r="P8" s="63"/>
      <c r="Q8" s="63"/>
      <c r="R8" s="62"/>
      <c r="S8" s="62"/>
      <c r="T8" s="62"/>
      <c r="U8" s="62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</row>
    <row r="9" spans="1:115" ht="21" customHeight="1" x14ac:dyDescent="0.3">
      <c r="B9" s="67">
        <v>2</v>
      </c>
      <c r="C9" s="68" t="s">
        <v>37</v>
      </c>
      <c r="D9" s="68">
        <f t="shared" si="0"/>
        <v>442.6</v>
      </c>
      <c r="E9" s="68">
        <f t="shared" si="1"/>
        <v>261.7</v>
      </c>
      <c r="F9" s="68">
        <f t="shared" si="2"/>
        <v>0.5912788070492544</v>
      </c>
      <c r="G9" s="69">
        <f t="shared" si="3"/>
        <v>4</v>
      </c>
      <c r="I9" s="62"/>
      <c r="J9" s="62"/>
      <c r="K9" s="62"/>
      <c r="L9" s="62"/>
      <c r="M9" s="62"/>
      <c r="N9" s="63"/>
      <c r="O9" s="63"/>
      <c r="P9" s="63"/>
      <c r="Q9" s="63"/>
      <c r="R9" s="62"/>
      <c r="S9" s="62"/>
      <c r="T9" s="62"/>
      <c r="U9" s="62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</row>
    <row r="10" spans="1:115" ht="21" customHeight="1" x14ac:dyDescent="0.3">
      <c r="B10" s="67">
        <v>3</v>
      </c>
      <c r="C10" s="68" t="s">
        <v>38</v>
      </c>
      <c r="D10" s="68">
        <f t="shared" si="0"/>
        <v>547.9</v>
      </c>
      <c r="E10" s="68">
        <f t="shared" si="1"/>
        <v>356.8</v>
      </c>
      <c r="F10" s="68">
        <f t="shared" si="2"/>
        <v>0.65121372513232345</v>
      </c>
      <c r="G10" s="69">
        <f t="shared" si="3"/>
        <v>3</v>
      </c>
      <c r="I10" s="62"/>
      <c r="J10" s="62"/>
      <c r="K10" s="62"/>
      <c r="L10" s="62"/>
      <c r="M10" s="62"/>
      <c r="N10" s="63"/>
      <c r="O10" s="63"/>
      <c r="P10" s="63"/>
      <c r="Q10" s="63"/>
      <c r="R10" s="62"/>
      <c r="S10" s="62"/>
      <c r="T10" s="62"/>
      <c r="U10" s="62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</row>
    <row r="11" spans="1:115" ht="21" customHeight="1" x14ac:dyDescent="0.3">
      <c r="B11" s="70">
        <v>4</v>
      </c>
      <c r="C11" s="71" t="s">
        <v>39</v>
      </c>
      <c r="D11" s="71">
        <f t="shared" si="0"/>
        <v>701.7</v>
      </c>
      <c r="E11" s="71">
        <f t="shared" si="1"/>
        <v>418.20000000000005</v>
      </c>
      <c r="F11" s="71">
        <f t="shared" si="2"/>
        <v>0.59598118854211202</v>
      </c>
      <c r="G11" s="72">
        <f t="shared" si="3"/>
        <v>2</v>
      </c>
      <c r="I11" s="62"/>
      <c r="J11" s="62"/>
      <c r="K11" s="62"/>
      <c r="L11" s="62"/>
      <c r="M11" s="62"/>
      <c r="N11" s="63"/>
      <c r="O11" s="63"/>
      <c r="P11" s="63"/>
      <c r="Q11" s="63"/>
      <c r="R11" s="62"/>
      <c r="S11" s="62"/>
      <c r="T11" s="62"/>
      <c r="U11" s="62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</row>
    <row r="12" spans="1:115" ht="21" customHeight="1" x14ac:dyDescent="0.25">
      <c r="A12" s="61"/>
      <c r="B12" s="62"/>
      <c r="C12" s="62"/>
      <c r="D12" s="62"/>
      <c r="E12" s="62"/>
      <c r="F12" s="73"/>
      <c r="G12" s="62"/>
      <c r="H12" s="62"/>
      <c r="I12" s="62"/>
      <c r="J12" s="62"/>
      <c r="K12" s="62"/>
      <c r="L12" s="62"/>
      <c r="M12" s="63"/>
      <c r="N12" s="63"/>
      <c r="O12" s="63"/>
      <c r="P12" s="63"/>
      <c r="Q12" s="62"/>
      <c r="R12" s="62"/>
      <c r="S12" s="62"/>
      <c r="T12" s="62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</row>
    <row r="13" spans="1:115" ht="21" customHeight="1" x14ac:dyDescent="0.25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63"/>
      <c r="O13" s="63"/>
      <c r="P13" s="63"/>
      <c r="Q13" s="62"/>
      <c r="R13" s="62"/>
      <c r="S13" s="62"/>
      <c r="T13" s="62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</row>
    <row r="14" spans="1:115" ht="17.25" customHeight="1" x14ac:dyDescent="0.25">
      <c r="A14" s="74"/>
      <c r="B14" s="26" t="s">
        <v>40</v>
      </c>
      <c r="C14" s="26" t="s">
        <v>41</v>
      </c>
      <c r="D14" s="26" t="s">
        <v>42</v>
      </c>
      <c r="E14" s="75"/>
      <c r="F14" s="26" t="s">
        <v>43</v>
      </c>
      <c r="G14" s="26" t="s">
        <v>44</v>
      </c>
      <c r="H14" s="26" t="s">
        <v>45</v>
      </c>
      <c r="I14" s="26" t="s">
        <v>46</v>
      </c>
      <c r="J14" s="26" t="s">
        <v>47</v>
      </c>
      <c r="K14" s="26" t="s">
        <v>48</v>
      </c>
      <c r="L14" s="26" t="s">
        <v>49</v>
      </c>
      <c r="M14" s="26" t="s">
        <v>50</v>
      </c>
      <c r="N14" s="26" t="s">
        <v>51</v>
      </c>
      <c r="O14" s="26" t="s">
        <v>52</v>
      </c>
      <c r="P14" s="26" t="s">
        <v>53</v>
      </c>
      <c r="Q14" s="76" t="s">
        <v>54</v>
      </c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7" t="s">
        <v>55</v>
      </c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8" t="s">
        <v>56</v>
      </c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9" t="s">
        <v>57</v>
      </c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</row>
    <row r="15" spans="1:115" ht="17.25" customHeight="1" x14ac:dyDescent="0.25">
      <c r="A15" s="80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81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81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81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81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</row>
    <row r="16" spans="1:115" ht="17.25" customHeight="1" x14ac:dyDescent="0.25">
      <c r="A16" s="82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83" t="str">
        <f t="shared" ref="Q16:CV16" si="4">LEFT(TEXT(Q17,"ddd"),1)</f>
        <v>S</v>
      </c>
      <c r="R16" s="83" t="str">
        <f t="shared" si="4"/>
        <v>S</v>
      </c>
      <c r="S16" s="83" t="str">
        <f t="shared" si="4"/>
        <v>M</v>
      </c>
      <c r="T16" s="83" t="str">
        <f t="shared" si="4"/>
        <v>T</v>
      </c>
      <c r="U16" s="83" t="str">
        <f t="shared" si="4"/>
        <v>W</v>
      </c>
      <c r="V16" s="83" t="str">
        <f t="shared" si="4"/>
        <v>T</v>
      </c>
      <c r="W16" s="83" t="str">
        <f t="shared" si="4"/>
        <v>F</v>
      </c>
      <c r="X16" s="83" t="str">
        <f t="shared" si="4"/>
        <v>S</v>
      </c>
      <c r="Y16" s="83" t="str">
        <f t="shared" si="4"/>
        <v>S</v>
      </c>
      <c r="Z16" s="83" t="str">
        <f t="shared" si="4"/>
        <v>M</v>
      </c>
      <c r="AA16" s="83" t="str">
        <f t="shared" si="4"/>
        <v>T</v>
      </c>
      <c r="AB16" s="83" t="str">
        <f t="shared" si="4"/>
        <v>W</v>
      </c>
      <c r="AC16" s="83" t="str">
        <f t="shared" si="4"/>
        <v>T</v>
      </c>
      <c r="AD16" s="83" t="str">
        <f t="shared" si="4"/>
        <v>F</v>
      </c>
      <c r="AE16" s="83" t="str">
        <f t="shared" si="4"/>
        <v>S</v>
      </c>
      <c r="AF16" s="83" t="str">
        <f t="shared" si="4"/>
        <v>S</v>
      </c>
      <c r="AG16" s="83" t="str">
        <f t="shared" si="4"/>
        <v>M</v>
      </c>
      <c r="AH16" s="83" t="str">
        <f t="shared" si="4"/>
        <v>T</v>
      </c>
      <c r="AI16" s="83" t="str">
        <f t="shared" si="4"/>
        <v>W</v>
      </c>
      <c r="AJ16" s="83" t="str">
        <f t="shared" si="4"/>
        <v>T</v>
      </c>
      <c r="AK16" s="83" t="str">
        <f t="shared" si="4"/>
        <v>F</v>
      </c>
      <c r="AL16" s="84" t="str">
        <f t="shared" si="4"/>
        <v>S</v>
      </c>
      <c r="AM16" s="84" t="str">
        <f t="shared" si="4"/>
        <v>S</v>
      </c>
      <c r="AN16" s="84" t="str">
        <f t="shared" si="4"/>
        <v>M</v>
      </c>
      <c r="AO16" s="84" t="str">
        <f t="shared" si="4"/>
        <v>T</v>
      </c>
      <c r="AP16" s="84" t="str">
        <f t="shared" si="4"/>
        <v>W</v>
      </c>
      <c r="AQ16" s="84" t="str">
        <f t="shared" si="4"/>
        <v>T</v>
      </c>
      <c r="AR16" s="84" t="str">
        <f t="shared" si="4"/>
        <v>F</v>
      </c>
      <c r="AS16" s="84" t="str">
        <f t="shared" si="4"/>
        <v>S</v>
      </c>
      <c r="AT16" s="84" t="str">
        <f t="shared" si="4"/>
        <v>S</v>
      </c>
      <c r="AU16" s="84" t="str">
        <f t="shared" si="4"/>
        <v>M</v>
      </c>
      <c r="AV16" s="84" t="str">
        <f t="shared" si="4"/>
        <v>T</v>
      </c>
      <c r="AW16" s="84" t="str">
        <f t="shared" si="4"/>
        <v>W</v>
      </c>
      <c r="AX16" s="84" t="str">
        <f t="shared" si="4"/>
        <v>T</v>
      </c>
      <c r="AY16" s="84" t="str">
        <f t="shared" si="4"/>
        <v>F</v>
      </c>
      <c r="AZ16" s="84" t="str">
        <f t="shared" si="4"/>
        <v>S</v>
      </c>
      <c r="BA16" s="84" t="str">
        <f t="shared" si="4"/>
        <v>S</v>
      </c>
      <c r="BB16" s="84" t="str">
        <f t="shared" si="4"/>
        <v>M</v>
      </c>
      <c r="BC16" s="84" t="str">
        <f t="shared" si="4"/>
        <v>T</v>
      </c>
      <c r="BD16" s="84" t="str">
        <f t="shared" si="4"/>
        <v>W</v>
      </c>
      <c r="BE16" s="84" t="str">
        <f t="shared" si="4"/>
        <v>T</v>
      </c>
      <c r="BF16" s="84" t="str">
        <f t="shared" si="4"/>
        <v>F</v>
      </c>
      <c r="BG16" s="85" t="str">
        <f t="shared" si="4"/>
        <v>S</v>
      </c>
      <c r="BH16" s="85" t="str">
        <f t="shared" si="4"/>
        <v>S</v>
      </c>
      <c r="BI16" s="85" t="str">
        <f t="shared" si="4"/>
        <v>M</v>
      </c>
      <c r="BJ16" s="85" t="str">
        <f t="shared" si="4"/>
        <v>T</v>
      </c>
      <c r="BK16" s="85" t="str">
        <f t="shared" si="4"/>
        <v>W</v>
      </c>
      <c r="BL16" s="85" t="str">
        <f t="shared" si="4"/>
        <v>T</v>
      </c>
      <c r="BM16" s="85" t="str">
        <f t="shared" si="4"/>
        <v>F</v>
      </c>
      <c r="BN16" s="85" t="str">
        <f t="shared" si="4"/>
        <v>S</v>
      </c>
      <c r="BO16" s="85" t="str">
        <f t="shared" si="4"/>
        <v>S</v>
      </c>
      <c r="BP16" s="85" t="str">
        <f t="shared" si="4"/>
        <v>M</v>
      </c>
      <c r="BQ16" s="85" t="str">
        <f t="shared" si="4"/>
        <v>T</v>
      </c>
      <c r="BR16" s="85" t="str">
        <f t="shared" si="4"/>
        <v>W</v>
      </c>
      <c r="BS16" s="85" t="str">
        <f t="shared" si="4"/>
        <v>T</v>
      </c>
      <c r="BT16" s="85" t="str">
        <f t="shared" si="4"/>
        <v>F</v>
      </c>
      <c r="BU16" s="85" t="str">
        <f t="shared" si="4"/>
        <v>S</v>
      </c>
      <c r="BV16" s="85" t="str">
        <f t="shared" si="4"/>
        <v>S</v>
      </c>
      <c r="BW16" s="85" t="str">
        <f t="shared" si="4"/>
        <v>M</v>
      </c>
      <c r="BX16" s="85" t="str">
        <f t="shared" si="4"/>
        <v>T</v>
      </c>
      <c r="BY16" s="85" t="str">
        <f t="shared" si="4"/>
        <v>W</v>
      </c>
      <c r="BZ16" s="85" t="str">
        <f t="shared" si="4"/>
        <v>T</v>
      </c>
      <c r="CA16" s="85" t="str">
        <f t="shared" si="4"/>
        <v>F</v>
      </c>
      <c r="CB16" s="86" t="str">
        <f t="shared" si="4"/>
        <v>S</v>
      </c>
      <c r="CC16" s="86" t="str">
        <f t="shared" si="4"/>
        <v>S</v>
      </c>
      <c r="CD16" s="86" t="str">
        <f t="shared" si="4"/>
        <v>M</v>
      </c>
      <c r="CE16" s="86" t="str">
        <f t="shared" si="4"/>
        <v>T</v>
      </c>
      <c r="CF16" s="86" t="str">
        <f t="shared" si="4"/>
        <v>W</v>
      </c>
      <c r="CG16" s="86" t="str">
        <f t="shared" si="4"/>
        <v>T</v>
      </c>
      <c r="CH16" s="86" t="str">
        <f t="shared" si="4"/>
        <v>F</v>
      </c>
      <c r="CI16" s="86" t="str">
        <f t="shared" si="4"/>
        <v>S</v>
      </c>
      <c r="CJ16" s="86" t="str">
        <f t="shared" si="4"/>
        <v>S</v>
      </c>
      <c r="CK16" s="86" t="str">
        <f t="shared" si="4"/>
        <v>M</v>
      </c>
      <c r="CL16" s="86" t="str">
        <f t="shared" si="4"/>
        <v>T</v>
      </c>
      <c r="CM16" s="86" t="str">
        <f t="shared" si="4"/>
        <v>W</v>
      </c>
      <c r="CN16" s="86" t="str">
        <f t="shared" si="4"/>
        <v>T</v>
      </c>
      <c r="CO16" s="86" t="str">
        <f t="shared" si="4"/>
        <v>F</v>
      </c>
      <c r="CP16" s="86" t="str">
        <f t="shared" si="4"/>
        <v>S</v>
      </c>
      <c r="CQ16" s="86" t="str">
        <f t="shared" si="4"/>
        <v>S</v>
      </c>
      <c r="CR16" s="86" t="str">
        <f t="shared" si="4"/>
        <v>M</v>
      </c>
      <c r="CS16" s="86" t="str">
        <f t="shared" si="4"/>
        <v>T</v>
      </c>
      <c r="CT16" s="86" t="str">
        <f t="shared" si="4"/>
        <v>W</v>
      </c>
      <c r="CU16" s="86" t="str">
        <f t="shared" si="4"/>
        <v>T</v>
      </c>
      <c r="CV16" s="86" t="str">
        <f t="shared" si="4"/>
        <v>F</v>
      </c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</row>
    <row r="17" spans="1:115" ht="17.25" hidden="1" customHeight="1" x14ac:dyDescent="0.25">
      <c r="A17" s="82"/>
      <c r="B17" s="75"/>
      <c r="C17" s="75"/>
      <c r="D17" s="11"/>
      <c r="F17" s="11"/>
      <c r="G17" s="11"/>
      <c r="H17" s="75"/>
      <c r="I17" s="11"/>
      <c r="J17" s="11"/>
      <c r="K17" s="75"/>
      <c r="L17" s="75"/>
      <c r="M17" s="75"/>
      <c r="N17" s="75"/>
      <c r="O17" s="11"/>
      <c r="P17" s="75"/>
      <c r="Q17" s="87">
        <f>AA5</f>
        <v>46165</v>
      </c>
      <c r="R17" s="87">
        <f t="shared" ref="R17:CV17" si="5">Q17+1</f>
        <v>46166</v>
      </c>
      <c r="S17" s="87">
        <f t="shared" si="5"/>
        <v>46167</v>
      </c>
      <c r="T17" s="87">
        <f t="shared" si="5"/>
        <v>46168</v>
      </c>
      <c r="U17" s="87">
        <f t="shared" si="5"/>
        <v>46169</v>
      </c>
      <c r="V17" s="87">
        <f t="shared" si="5"/>
        <v>46170</v>
      </c>
      <c r="W17" s="87">
        <f t="shared" si="5"/>
        <v>46171</v>
      </c>
      <c r="X17" s="87">
        <f t="shared" si="5"/>
        <v>46172</v>
      </c>
      <c r="Y17" s="87">
        <f t="shared" si="5"/>
        <v>46173</v>
      </c>
      <c r="Z17" s="87">
        <f t="shared" si="5"/>
        <v>46174</v>
      </c>
      <c r="AA17" s="87">
        <f t="shared" si="5"/>
        <v>46175</v>
      </c>
      <c r="AB17" s="87">
        <f t="shared" si="5"/>
        <v>46176</v>
      </c>
      <c r="AC17" s="87">
        <f t="shared" si="5"/>
        <v>46177</v>
      </c>
      <c r="AD17" s="87">
        <f t="shared" si="5"/>
        <v>46178</v>
      </c>
      <c r="AE17" s="87">
        <f t="shared" si="5"/>
        <v>46179</v>
      </c>
      <c r="AF17" s="87">
        <f t="shared" si="5"/>
        <v>46180</v>
      </c>
      <c r="AG17" s="87">
        <f t="shared" si="5"/>
        <v>46181</v>
      </c>
      <c r="AH17" s="87">
        <f t="shared" si="5"/>
        <v>46182</v>
      </c>
      <c r="AI17" s="87">
        <f t="shared" si="5"/>
        <v>46183</v>
      </c>
      <c r="AJ17" s="87">
        <f t="shared" si="5"/>
        <v>46184</v>
      </c>
      <c r="AK17" s="87">
        <f t="shared" si="5"/>
        <v>46185</v>
      </c>
      <c r="AL17" s="88">
        <f t="shared" si="5"/>
        <v>46186</v>
      </c>
      <c r="AM17" s="88">
        <f t="shared" si="5"/>
        <v>46187</v>
      </c>
      <c r="AN17" s="88">
        <f t="shared" si="5"/>
        <v>46188</v>
      </c>
      <c r="AO17" s="88">
        <f t="shared" si="5"/>
        <v>46189</v>
      </c>
      <c r="AP17" s="88">
        <f t="shared" si="5"/>
        <v>46190</v>
      </c>
      <c r="AQ17" s="88">
        <f t="shared" si="5"/>
        <v>46191</v>
      </c>
      <c r="AR17" s="88">
        <f t="shared" si="5"/>
        <v>46192</v>
      </c>
      <c r="AS17" s="88">
        <f t="shared" si="5"/>
        <v>46193</v>
      </c>
      <c r="AT17" s="88">
        <f t="shared" si="5"/>
        <v>46194</v>
      </c>
      <c r="AU17" s="88">
        <f t="shared" si="5"/>
        <v>46195</v>
      </c>
      <c r="AV17" s="88">
        <f t="shared" si="5"/>
        <v>46196</v>
      </c>
      <c r="AW17" s="88">
        <f t="shared" si="5"/>
        <v>46197</v>
      </c>
      <c r="AX17" s="88">
        <f t="shared" si="5"/>
        <v>46198</v>
      </c>
      <c r="AY17" s="88">
        <f t="shared" si="5"/>
        <v>46199</v>
      </c>
      <c r="AZ17" s="88">
        <f t="shared" si="5"/>
        <v>46200</v>
      </c>
      <c r="BA17" s="88">
        <f t="shared" si="5"/>
        <v>46201</v>
      </c>
      <c r="BB17" s="88">
        <f t="shared" si="5"/>
        <v>46202</v>
      </c>
      <c r="BC17" s="88">
        <f t="shared" si="5"/>
        <v>46203</v>
      </c>
      <c r="BD17" s="88">
        <f t="shared" si="5"/>
        <v>46204</v>
      </c>
      <c r="BE17" s="88">
        <f t="shared" si="5"/>
        <v>46205</v>
      </c>
      <c r="BF17" s="88">
        <f t="shared" si="5"/>
        <v>46206</v>
      </c>
      <c r="BG17" s="89">
        <f t="shared" si="5"/>
        <v>46207</v>
      </c>
      <c r="BH17" s="89">
        <f t="shared" si="5"/>
        <v>46208</v>
      </c>
      <c r="BI17" s="89">
        <f t="shared" si="5"/>
        <v>46209</v>
      </c>
      <c r="BJ17" s="89">
        <f t="shared" si="5"/>
        <v>46210</v>
      </c>
      <c r="BK17" s="89">
        <f t="shared" si="5"/>
        <v>46211</v>
      </c>
      <c r="BL17" s="89">
        <f t="shared" si="5"/>
        <v>46212</v>
      </c>
      <c r="BM17" s="89">
        <f t="shared" si="5"/>
        <v>46213</v>
      </c>
      <c r="BN17" s="89">
        <f t="shared" si="5"/>
        <v>46214</v>
      </c>
      <c r="BO17" s="89">
        <f t="shared" si="5"/>
        <v>46215</v>
      </c>
      <c r="BP17" s="89">
        <f t="shared" si="5"/>
        <v>46216</v>
      </c>
      <c r="BQ17" s="89">
        <f t="shared" si="5"/>
        <v>46217</v>
      </c>
      <c r="BR17" s="89">
        <f t="shared" si="5"/>
        <v>46218</v>
      </c>
      <c r="BS17" s="89">
        <f t="shared" si="5"/>
        <v>46219</v>
      </c>
      <c r="BT17" s="89">
        <f t="shared" si="5"/>
        <v>46220</v>
      </c>
      <c r="BU17" s="89">
        <f t="shared" si="5"/>
        <v>46221</v>
      </c>
      <c r="BV17" s="89">
        <f t="shared" si="5"/>
        <v>46222</v>
      </c>
      <c r="BW17" s="89">
        <f t="shared" si="5"/>
        <v>46223</v>
      </c>
      <c r="BX17" s="89">
        <f t="shared" si="5"/>
        <v>46224</v>
      </c>
      <c r="BY17" s="89">
        <f t="shared" si="5"/>
        <v>46225</v>
      </c>
      <c r="BZ17" s="89">
        <f t="shared" si="5"/>
        <v>46226</v>
      </c>
      <c r="CA17" s="89">
        <f t="shared" si="5"/>
        <v>46227</v>
      </c>
      <c r="CB17" s="90">
        <f t="shared" si="5"/>
        <v>46228</v>
      </c>
      <c r="CC17" s="90">
        <f t="shared" si="5"/>
        <v>46229</v>
      </c>
      <c r="CD17" s="90">
        <f t="shared" si="5"/>
        <v>46230</v>
      </c>
      <c r="CE17" s="90">
        <f t="shared" si="5"/>
        <v>46231</v>
      </c>
      <c r="CF17" s="90">
        <f t="shared" si="5"/>
        <v>46232</v>
      </c>
      <c r="CG17" s="90">
        <f t="shared" si="5"/>
        <v>46233</v>
      </c>
      <c r="CH17" s="90">
        <f t="shared" si="5"/>
        <v>46234</v>
      </c>
      <c r="CI17" s="90">
        <f t="shared" si="5"/>
        <v>46235</v>
      </c>
      <c r="CJ17" s="90">
        <f t="shared" si="5"/>
        <v>46236</v>
      </c>
      <c r="CK17" s="90">
        <f t="shared" si="5"/>
        <v>46237</v>
      </c>
      <c r="CL17" s="90">
        <f t="shared" si="5"/>
        <v>46238</v>
      </c>
      <c r="CM17" s="90">
        <f t="shared" si="5"/>
        <v>46239</v>
      </c>
      <c r="CN17" s="90">
        <f t="shared" si="5"/>
        <v>46240</v>
      </c>
      <c r="CO17" s="90">
        <f t="shared" si="5"/>
        <v>46241</v>
      </c>
      <c r="CP17" s="90">
        <f t="shared" si="5"/>
        <v>46242</v>
      </c>
      <c r="CQ17" s="90">
        <f t="shared" si="5"/>
        <v>46243</v>
      </c>
      <c r="CR17" s="90">
        <f t="shared" si="5"/>
        <v>46244</v>
      </c>
      <c r="CS17" s="90">
        <f t="shared" si="5"/>
        <v>46245</v>
      </c>
      <c r="CT17" s="90">
        <f t="shared" si="5"/>
        <v>46246</v>
      </c>
      <c r="CU17" s="90">
        <f t="shared" si="5"/>
        <v>46247</v>
      </c>
      <c r="CV17" s="90">
        <f t="shared" si="5"/>
        <v>46248</v>
      </c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</row>
    <row r="18" spans="1:115" ht="20.399999999999999" x14ac:dyDescent="0.25">
      <c r="A18" s="61"/>
      <c r="B18" s="12">
        <v>1</v>
      </c>
      <c r="C18" s="13" t="s">
        <v>58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91"/>
      <c r="R18" s="92"/>
      <c r="S18" s="93"/>
      <c r="T18" s="93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</row>
    <row r="19" spans="1:115" ht="105.6" outlineLevel="1" x14ac:dyDescent="0.25">
      <c r="A19" s="94"/>
      <c r="B19" s="14">
        <v>1.1000000000000001</v>
      </c>
      <c r="C19" s="15" t="s">
        <v>59</v>
      </c>
      <c r="D19" s="24" t="s">
        <v>60</v>
      </c>
      <c r="E19" s="95"/>
      <c r="F19" s="16" t="s">
        <v>61</v>
      </c>
      <c r="G19" s="16" t="s">
        <v>62</v>
      </c>
      <c r="H19" s="17" t="s">
        <v>36</v>
      </c>
      <c r="I19" s="17">
        <v>8</v>
      </c>
      <c r="J19" s="17">
        <v>4</v>
      </c>
      <c r="K19" s="18">
        <v>46165</v>
      </c>
      <c r="L19" s="18">
        <v>46167</v>
      </c>
      <c r="M19" s="17">
        <f t="shared" ref="M19:M29" si="6">DAYS360(K19,L19)</f>
        <v>2</v>
      </c>
      <c r="N19" s="19">
        <v>1</v>
      </c>
      <c r="O19" s="17">
        <f t="shared" ref="O19:O29" si="7">ROUND(I19*J19*SQRT(M19),1)</f>
        <v>45.3</v>
      </c>
      <c r="P19" s="17">
        <f t="shared" ref="P19:P29" si="8">ROUND(O19*N19, 1)</f>
        <v>45.3</v>
      </c>
      <c r="Q19" s="96"/>
      <c r="R19" s="97"/>
      <c r="S19" s="98"/>
      <c r="T19" s="98"/>
      <c r="U19" s="98"/>
      <c r="V19" s="98"/>
      <c r="W19" s="98"/>
      <c r="X19" s="99"/>
      <c r="Y19" s="99"/>
      <c r="Z19" s="99"/>
      <c r="AA19" s="99"/>
      <c r="AB19" s="99"/>
      <c r="AC19" s="99"/>
      <c r="AD19" s="99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100"/>
      <c r="AT19" s="100"/>
      <c r="AU19" s="100"/>
      <c r="AV19" s="100"/>
      <c r="AW19" s="100"/>
      <c r="AX19" s="100"/>
      <c r="AY19" s="100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101"/>
      <c r="BO19" s="101"/>
      <c r="BP19" s="101"/>
      <c r="BQ19" s="101"/>
      <c r="BR19" s="101"/>
      <c r="BS19" s="101"/>
      <c r="BT19" s="101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102"/>
      <c r="CJ19" s="102"/>
      <c r="CK19" s="102"/>
      <c r="CL19" s="102"/>
      <c r="CM19" s="102"/>
      <c r="CN19" s="102"/>
      <c r="CO19" s="102"/>
      <c r="CP19" s="98"/>
      <c r="CQ19" s="98"/>
      <c r="CR19" s="98"/>
      <c r="CS19" s="98"/>
      <c r="CT19" s="98"/>
      <c r="CU19" s="98"/>
      <c r="CV19" s="98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</row>
    <row r="20" spans="1:115" ht="105.6" outlineLevel="1" x14ac:dyDescent="0.25">
      <c r="A20" s="94"/>
      <c r="B20" s="14">
        <v>1.1000000000000001</v>
      </c>
      <c r="C20" s="15" t="s">
        <v>59</v>
      </c>
      <c r="D20" s="24" t="s">
        <v>60</v>
      </c>
      <c r="E20" s="95"/>
      <c r="F20" s="16" t="s">
        <v>61</v>
      </c>
      <c r="G20" s="16" t="s">
        <v>63</v>
      </c>
      <c r="H20" s="17" t="s">
        <v>37</v>
      </c>
      <c r="I20" s="17">
        <v>8</v>
      </c>
      <c r="J20" s="17">
        <v>4</v>
      </c>
      <c r="K20" s="18">
        <v>46165</v>
      </c>
      <c r="L20" s="18">
        <v>46167</v>
      </c>
      <c r="M20" s="17">
        <f t="shared" si="6"/>
        <v>2</v>
      </c>
      <c r="N20" s="19">
        <v>1</v>
      </c>
      <c r="O20" s="17">
        <f t="shared" si="7"/>
        <v>45.3</v>
      </c>
      <c r="P20" s="17">
        <f t="shared" si="8"/>
        <v>45.3</v>
      </c>
      <c r="Q20" s="96"/>
      <c r="R20" s="97"/>
      <c r="S20" s="98"/>
      <c r="T20" s="98"/>
      <c r="U20" s="98"/>
      <c r="V20" s="98"/>
      <c r="W20" s="98"/>
      <c r="X20" s="99"/>
      <c r="Y20" s="99"/>
      <c r="Z20" s="99"/>
      <c r="AA20" s="99"/>
      <c r="AB20" s="99"/>
      <c r="AC20" s="99"/>
      <c r="AD20" s="99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100"/>
      <c r="AT20" s="100"/>
      <c r="AU20" s="100"/>
      <c r="AV20" s="100"/>
      <c r="AW20" s="100"/>
      <c r="AX20" s="100"/>
      <c r="AY20" s="100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101"/>
      <c r="BO20" s="101"/>
      <c r="BP20" s="101"/>
      <c r="BQ20" s="101"/>
      <c r="BR20" s="101"/>
      <c r="BS20" s="101"/>
      <c r="BT20" s="101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102"/>
      <c r="CJ20" s="102"/>
      <c r="CK20" s="102"/>
      <c r="CL20" s="102"/>
      <c r="CM20" s="102"/>
      <c r="CN20" s="102"/>
      <c r="CO20" s="102"/>
      <c r="CP20" s="98"/>
      <c r="CQ20" s="98"/>
      <c r="CR20" s="98"/>
      <c r="CS20" s="98"/>
      <c r="CT20" s="98"/>
      <c r="CU20" s="98"/>
      <c r="CV20" s="98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</row>
    <row r="21" spans="1:115" ht="105.6" outlineLevel="1" x14ac:dyDescent="0.25">
      <c r="A21" s="94"/>
      <c r="B21" s="14">
        <v>1.1000000000000001</v>
      </c>
      <c r="C21" s="15" t="s">
        <v>59</v>
      </c>
      <c r="D21" s="24" t="s">
        <v>60</v>
      </c>
      <c r="E21" s="95"/>
      <c r="F21" s="16" t="s">
        <v>61</v>
      </c>
      <c r="G21" s="16" t="s">
        <v>64</v>
      </c>
      <c r="H21" s="17" t="s">
        <v>39</v>
      </c>
      <c r="I21" s="17">
        <v>8</v>
      </c>
      <c r="J21" s="17">
        <v>4</v>
      </c>
      <c r="K21" s="18">
        <v>46165</v>
      </c>
      <c r="L21" s="18">
        <v>46167</v>
      </c>
      <c r="M21" s="17">
        <f t="shared" si="6"/>
        <v>2</v>
      </c>
      <c r="N21" s="19">
        <v>0</v>
      </c>
      <c r="O21" s="17">
        <f t="shared" si="7"/>
        <v>45.3</v>
      </c>
      <c r="P21" s="17">
        <f t="shared" si="8"/>
        <v>0</v>
      </c>
      <c r="Q21" s="96"/>
      <c r="R21" s="97"/>
      <c r="S21" s="98"/>
      <c r="T21" s="98"/>
      <c r="U21" s="98"/>
      <c r="V21" s="98"/>
      <c r="W21" s="98"/>
      <c r="X21" s="99"/>
      <c r="Y21" s="99"/>
      <c r="Z21" s="99"/>
      <c r="AA21" s="99"/>
      <c r="AB21" s="99"/>
      <c r="AC21" s="99"/>
      <c r="AD21" s="99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100"/>
      <c r="AT21" s="100"/>
      <c r="AU21" s="100"/>
      <c r="AV21" s="100"/>
      <c r="AW21" s="100"/>
      <c r="AX21" s="100"/>
      <c r="AY21" s="100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101"/>
      <c r="BO21" s="101"/>
      <c r="BP21" s="101"/>
      <c r="BQ21" s="101"/>
      <c r="BR21" s="101"/>
      <c r="BS21" s="101"/>
      <c r="BT21" s="101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102"/>
      <c r="CJ21" s="102"/>
      <c r="CK21" s="102"/>
      <c r="CL21" s="102"/>
      <c r="CM21" s="102"/>
      <c r="CN21" s="102"/>
      <c r="CO21" s="102"/>
      <c r="CP21" s="98"/>
      <c r="CQ21" s="98"/>
      <c r="CR21" s="98"/>
      <c r="CS21" s="98"/>
      <c r="CT21" s="98"/>
      <c r="CU21" s="98"/>
      <c r="CV21" s="98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</row>
    <row r="22" spans="1:115" ht="105.6" outlineLevel="1" x14ac:dyDescent="0.25">
      <c r="A22" s="94"/>
      <c r="B22" s="14">
        <v>1.1000000000000001</v>
      </c>
      <c r="C22" s="15" t="s">
        <v>59</v>
      </c>
      <c r="D22" s="24" t="s">
        <v>60</v>
      </c>
      <c r="E22" s="95"/>
      <c r="F22" s="16" t="s">
        <v>61</v>
      </c>
      <c r="G22" s="16" t="s">
        <v>65</v>
      </c>
      <c r="H22" s="17" t="s">
        <v>38</v>
      </c>
      <c r="I22" s="17">
        <v>8</v>
      </c>
      <c r="J22" s="17">
        <v>4</v>
      </c>
      <c r="K22" s="18">
        <v>46165</v>
      </c>
      <c r="L22" s="18">
        <v>46167</v>
      </c>
      <c r="M22" s="17">
        <f t="shared" si="6"/>
        <v>2</v>
      </c>
      <c r="N22" s="19">
        <v>1</v>
      </c>
      <c r="O22" s="17">
        <f t="shared" si="7"/>
        <v>45.3</v>
      </c>
      <c r="P22" s="17">
        <f t="shared" si="8"/>
        <v>45.3</v>
      </c>
      <c r="Q22" s="96"/>
      <c r="R22" s="97"/>
      <c r="S22" s="98"/>
      <c r="T22" s="98"/>
      <c r="U22" s="98"/>
      <c r="V22" s="98"/>
      <c r="W22" s="98"/>
      <c r="X22" s="99"/>
      <c r="Y22" s="99"/>
      <c r="Z22" s="99"/>
      <c r="AA22" s="99"/>
      <c r="AB22" s="99"/>
      <c r="AC22" s="99"/>
      <c r="AD22" s="99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100"/>
      <c r="AT22" s="100"/>
      <c r="AU22" s="100"/>
      <c r="AV22" s="100"/>
      <c r="AW22" s="100"/>
      <c r="AX22" s="100"/>
      <c r="AY22" s="100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101"/>
      <c r="BO22" s="101"/>
      <c r="BP22" s="101"/>
      <c r="BQ22" s="101"/>
      <c r="BR22" s="101"/>
      <c r="BS22" s="101"/>
      <c r="BT22" s="101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102"/>
      <c r="CJ22" s="102"/>
      <c r="CK22" s="102"/>
      <c r="CL22" s="102"/>
      <c r="CM22" s="102"/>
      <c r="CN22" s="102"/>
      <c r="CO22" s="102"/>
      <c r="CP22" s="98"/>
      <c r="CQ22" s="98"/>
      <c r="CR22" s="98"/>
      <c r="CS22" s="98"/>
      <c r="CT22" s="98"/>
      <c r="CU22" s="98"/>
      <c r="CV22" s="98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</row>
    <row r="23" spans="1:115" ht="79.2" outlineLevel="1" x14ac:dyDescent="0.25">
      <c r="A23" s="94"/>
      <c r="B23" s="14">
        <v>1.6</v>
      </c>
      <c r="C23" s="15" t="s">
        <v>66</v>
      </c>
      <c r="D23" s="24" t="s">
        <v>67</v>
      </c>
      <c r="E23" s="95"/>
      <c r="F23" s="16" t="s">
        <v>68</v>
      </c>
      <c r="G23" s="17"/>
      <c r="H23" s="17" t="s">
        <v>36</v>
      </c>
      <c r="I23" s="17">
        <v>3</v>
      </c>
      <c r="J23" s="17">
        <v>2</v>
      </c>
      <c r="K23" s="18">
        <v>46165</v>
      </c>
      <c r="L23" s="18">
        <v>46167</v>
      </c>
      <c r="M23" s="17">
        <f t="shared" si="6"/>
        <v>2</v>
      </c>
      <c r="N23" s="19">
        <v>1</v>
      </c>
      <c r="O23" s="17">
        <f t="shared" si="7"/>
        <v>8.5</v>
      </c>
      <c r="P23" s="17">
        <f t="shared" si="8"/>
        <v>8.5</v>
      </c>
      <c r="Q23" s="103"/>
      <c r="R23" s="104"/>
      <c r="S23" s="105"/>
      <c r="T23" s="105"/>
      <c r="U23" s="105"/>
      <c r="V23" s="98"/>
      <c r="W23" s="98"/>
      <c r="X23" s="99"/>
      <c r="Y23" s="99"/>
      <c r="Z23" s="99"/>
      <c r="AA23" s="99"/>
      <c r="AB23" s="99"/>
      <c r="AC23" s="99"/>
      <c r="AD23" s="99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100"/>
      <c r="AT23" s="100"/>
      <c r="AU23" s="100"/>
      <c r="AV23" s="100"/>
      <c r="AW23" s="100"/>
      <c r="AX23" s="100"/>
      <c r="AY23" s="100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101"/>
      <c r="BO23" s="101"/>
      <c r="BP23" s="101"/>
      <c r="BQ23" s="101"/>
      <c r="BR23" s="101"/>
      <c r="BS23" s="101"/>
      <c r="BT23" s="101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102"/>
      <c r="CJ23" s="102"/>
      <c r="CK23" s="102"/>
      <c r="CL23" s="102"/>
      <c r="CM23" s="102"/>
      <c r="CN23" s="102"/>
      <c r="CO23" s="102"/>
      <c r="CP23" s="98"/>
      <c r="CQ23" s="98"/>
      <c r="CR23" s="98"/>
      <c r="CS23" s="98"/>
      <c r="CT23" s="98"/>
      <c r="CU23" s="98"/>
      <c r="CV23" s="98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</row>
    <row r="24" spans="1:115" ht="79.2" outlineLevel="1" x14ac:dyDescent="0.25">
      <c r="A24" s="94"/>
      <c r="B24" s="14">
        <v>1.7</v>
      </c>
      <c r="C24" s="15" t="s">
        <v>69</v>
      </c>
      <c r="D24" s="24" t="s">
        <v>70</v>
      </c>
      <c r="E24" s="95"/>
      <c r="F24" s="16" t="s">
        <v>71</v>
      </c>
      <c r="G24" s="17"/>
      <c r="H24" s="17" t="s">
        <v>37</v>
      </c>
      <c r="I24" s="17">
        <v>5</v>
      </c>
      <c r="J24" s="17">
        <v>7</v>
      </c>
      <c r="K24" s="18">
        <v>46167</v>
      </c>
      <c r="L24" s="18">
        <v>46170</v>
      </c>
      <c r="M24" s="17">
        <f t="shared" si="6"/>
        <v>3</v>
      </c>
      <c r="N24" s="20">
        <v>1</v>
      </c>
      <c r="O24" s="17">
        <f t="shared" si="7"/>
        <v>60.6</v>
      </c>
      <c r="P24" s="17">
        <f t="shared" si="8"/>
        <v>60.6</v>
      </c>
      <c r="Q24" s="103"/>
      <c r="R24" s="104"/>
      <c r="S24" s="105"/>
      <c r="T24" s="105"/>
      <c r="U24" s="105"/>
      <c r="V24" s="98"/>
      <c r="W24" s="98"/>
      <c r="X24" s="99"/>
      <c r="Y24" s="99"/>
      <c r="Z24" s="99"/>
      <c r="AA24" s="99"/>
      <c r="AB24" s="99"/>
      <c r="AC24" s="99"/>
      <c r="AD24" s="99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100"/>
      <c r="AT24" s="100"/>
      <c r="AU24" s="100"/>
      <c r="AV24" s="100"/>
      <c r="AW24" s="100"/>
      <c r="AX24" s="100"/>
      <c r="AY24" s="100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101"/>
      <c r="BO24" s="101"/>
      <c r="BP24" s="101"/>
      <c r="BQ24" s="101"/>
      <c r="BR24" s="101"/>
      <c r="BS24" s="101"/>
      <c r="BT24" s="101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102"/>
      <c r="CJ24" s="102"/>
      <c r="CK24" s="102"/>
      <c r="CL24" s="102"/>
      <c r="CM24" s="102"/>
      <c r="CN24" s="102"/>
      <c r="CO24" s="102"/>
      <c r="CP24" s="98"/>
      <c r="CQ24" s="98"/>
      <c r="CR24" s="98"/>
      <c r="CS24" s="98"/>
      <c r="CT24" s="98"/>
      <c r="CU24" s="98"/>
      <c r="CV24" s="98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</row>
    <row r="25" spans="1:115" ht="92.4" outlineLevel="1" x14ac:dyDescent="0.25">
      <c r="A25" s="94"/>
      <c r="B25" s="14">
        <v>1.8</v>
      </c>
      <c r="C25" s="15" t="s">
        <v>72</v>
      </c>
      <c r="D25" s="24" t="s">
        <v>73</v>
      </c>
      <c r="E25" s="95"/>
      <c r="F25" s="16" t="s">
        <v>74</v>
      </c>
      <c r="G25" s="17"/>
      <c r="H25" s="17" t="s">
        <v>39</v>
      </c>
      <c r="I25" s="17">
        <v>5</v>
      </c>
      <c r="J25" s="17">
        <v>8</v>
      </c>
      <c r="K25" s="18">
        <v>46167</v>
      </c>
      <c r="L25" s="18">
        <v>46174</v>
      </c>
      <c r="M25" s="17">
        <f t="shared" si="6"/>
        <v>6</v>
      </c>
      <c r="N25" s="20">
        <v>1</v>
      </c>
      <c r="O25" s="17">
        <f t="shared" si="7"/>
        <v>98</v>
      </c>
      <c r="P25" s="17">
        <f t="shared" si="8"/>
        <v>98</v>
      </c>
      <c r="Q25" s="103"/>
      <c r="R25" s="104"/>
      <c r="S25" s="105"/>
      <c r="T25" s="105"/>
      <c r="U25" s="105"/>
      <c r="V25" s="98"/>
      <c r="W25" s="98"/>
      <c r="X25" s="99"/>
      <c r="Y25" s="99"/>
      <c r="Z25" s="99"/>
      <c r="AA25" s="99"/>
      <c r="AB25" s="99"/>
      <c r="AC25" s="99"/>
      <c r="AD25" s="99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100"/>
      <c r="AT25" s="100"/>
      <c r="AU25" s="100"/>
      <c r="AV25" s="100"/>
      <c r="AW25" s="100"/>
      <c r="AX25" s="100"/>
      <c r="AY25" s="100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101"/>
      <c r="BO25" s="101"/>
      <c r="BP25" s="101"/>
      <c r="BQ25" s="101"/>
      <c r="BR25" s="101"/>
      <c r="BS25" s="101"/>
      <c r="BT25" s="101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102"/>
      <c r="CJ25" s="102"/>
      <c r="CK25" s="102"/>
      <c r="CL25" s="102"/>
      <c r="CM25" s="102"/>
      <c r="CN25" s="102"/>
      <c r="CO25" s="102"/>
      <c r="CP25" s="98"/>
      <c r="CQ25" s="98"/>
      <c r="CR25" s="98"/>
      <c r="CS25" s="98"/>
      <c r="CT25" s="98"/>
      <c r="CU25" s="98"/>
      <c r="CV25" s="98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</row>
    <row r="26" spans="1:115" ht="132" outlineLevel="1" x14ac:dyDescent="0.25">
      <c r="A26" s="94"/>
      <c r="B26" s="14">
        <v>1.9</v>
      </c>
      <c r="C26" s="15" t="s">
        <v>75</v>
      </c>
      <c r="D26" s="24" t="s">
        <v>76</v>
      </c>
      <c r="E26" s="95"/>
      <c r="F26" s="16" t="s">
        <v>77</v>
      </c>
      <c r="G26" s="17"/>
      <c r="H26" s="17" t="s">
        <v>38</v>
      </c>
      <c r="I26" s="17">
        <v>6</v>
      </c>
      <c r="J26" s="17">
        <v>7</v>
      </c>
      <c r="K26" s="18">
        <v>46167</v>
      </c>
      <c r="L26" s="18">
        <v>46174</v>
      </c>
      <c r="M26" s="17">
        <f t="shared" si="6"/>
        <v>6</v>
      </c>
      <c r="N26" s="20">
        <v>1</v>
      </c>
      <c r="O26" s="17">
        <f t="shared" si="7"/>
        <v>102.9</v>
      </c>
      <c r="P26" s="17">
        <f t="shared" si="8"/>
        <v>102.9</v>
      </c>
      <c r="Q26" s="103"/>
      <c r="R26" s="104"/>
      <c r="S26" s="105"/>
      <c r="T26" s="105"/>
      <c r="U26" s="105"/>
      <c r="V26" s="98"/>
      <c r="W26" s="98"/>
      <c r="X26" s="99"/>
      <c r="Y26" s="99"/>
      <c r="Z26" s="99"/>
      <c r="AA26" s="99"/>
      <c r="AB26" s="99"/>
      <c r="AC26" s="99"/>
      <c r="AD26" s="99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100"/>
      <c r="AT26" s="100"/>
      <c r="AU26" s="100"/>
      <c r="AV26" s="100"/>
      <c r="AW26" s="100"/>
      <c r="AX26" s="100"/>
      <c r="AY26" s="100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101"/>
      <c r="BO26" s="101"/>
      <c r="BP26" s="101"/>
      <c r="BQ26" s="101"/>
      <c r="BR26" s="101"/>
      <c r="BS26" s="101"/>
      <c r="BT26" s="101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102"/>
      <c r="CJ26" s="102"/>
      <c r="CK26" s="102"/>
      <c r="CL26" s="102"/>
      <c r="CM26" s="102"/>
      <c r="CN26" s="102"/>
      <c r="CO26" s="102"/>
      <c r="CP26" s="98"/>
      <c r="CQ26" s="98"/>
      <c r="CR26" s="98"/>
      <c r="CS26" s="98"/>
      <c r="CT26" s="98"/>
      <c r="CU26" s="98"/>
      <c r="CV26" s="98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</row>
    <row r="27" spans="1:115" ht="158.4" outlineLevel="1" x14ac:dyDescent="0.25">
      <c r="A27" s="94"/>
      <c r="B27" s="14" t="s">
        <v>78</v>
      </c>
      <c r="C27" s="15" t="s">
        <v>79</v>
      </c>
      <c r="D27" s="24" t="s">
        <v>80</v>
      </c>
      <c r="E27" s="95"/>
      <c r="F27" s="16" t="s">
        <v>81</v>
      </c>
      <c r="G27" s="17"/>
      <c r="H27" s="17" t="s">
        <v>36</v>
      </c>
      <c r="I27" s="17">
        <v>7</v>
      </c>
      <c r="J27" s="17">
        <v>7</v>
      </c>
      <c r="K27" s="18">
        <v>46167</v>
      </c>
      <c r="L27" s="18">
        <v>46171</v>
      </c>
      <c r="M27" s="17">
        <f t="shared" si="6"/>
        <v>4</v>
      </c>
      <c r="N27" s="20">
        <v>1</v>
      </c>
      <c r="O27" s="17">
        <f t="shared" si="7"/>
        <v>98</v>
      </c>
      <c r="P27" s="17">
        <f t="shared" si="8"/>
        <v>98</v>
      </c>
      <c r="Q27" s="103"/>
      <c r="R27" s="104"/>
      <c r="S27" s="105"/>
      <c r="T27" s="105"/>
      <c r="U27" s="105"/>
      <c r="V27" s="98"/>
      <c r="W27" s="98"/>
      <c r="X27" s="99"/>
      <c r="Y27" s="99"/>
      <c r="Z27" s="99"/>
      <c r="AA27" s="99"/>
      <c r="AB27" s="99"/>
      <c r="AC27" s="99"/>
      <c r="AD27" s="99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100"/>
      <c r="AT27" s="100"/>
      <c r="AU27" s="100"/>
      <c r="AV27" s="100"/>
      <c r="AW27" s="100"/>
      <c r="AX27" s="100"/>
      <c r="AY27" s="100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101"/>
      <c r="BO27" s="101"/>
      <c r="BP27" s="101"/>
      <c r="BQ27" s="101"/>
      <c r="BR27" s="101"/>
      <c r="BS27" s="101"/>
      <c r="BT27" s="101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102"/>
      <c r="CJ27" s="102"/>
      <c r="CK27" s="102"/>
      <c r="CL27" s="102"/>
      <c r="CM27" s="102"/>
      <c r="CN27" s="102"/>
      <c r="CO27" s="102"/>
      <c r="CP27" s="98"/>
      <c r="CQ27" s="98"/>
      <c r="CR27" s="98"/>
      <c r="CS27" s="98"/>
      <c r="CT27" s="98"/>
      <c r="CU27" s="98"/>
      <c r="CV27" s="98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</row>
    <row r="28" spans="1:115" ht="158.4" outlineLevel="1" x14ac:dyDescent="0.25">
      <c r="A28" s="94"/>
      <c r="B28" s="14" t="s">
        <v>82</v>
      </c>
      <c r="C28" s="15" t="s">
        <v>83</v>
      </c>
      <c r="D28" s="24" t="s">
        <v>84</v>
      </c>
      <c r="E28" s="95"/>
      <c r="F28" s="16" t="s">
        <v>85</v>
      </c>
      <c r="G28" s="17"/>
      <c r="H28" s="17" t="s">
        <v>36</v>
      </c>
      <c r="I28" s="17">
        <v>7</v>
      </c>
      <c r="J28" s="17">
        <v>7</v>
      </c>
      <c r="K28" s="18">
        <v>46167</v>
      </c>
      <c r="L28" s="18">
        <v>46171</v>
      </c>
      <c r="M28" s="17">
        <f t="shared" si="6"/>
        <v>4</v>
      </c>
      <c r="N28" s="20">
        <v>1</v>
      </c>
      <c r="O28" s="17">
        <f t="shared" si="7"/>
        <v>98</v>
      </c>
      <c r="P28" s="17">
        <f t="shared" si="8"/>
        <v>98</v>
      </c>
      <c r="Q28" s="103"/>
      <c r="R28" s="104"/>
      <c r="S28" s="105"/>
      <c r="T28" s="105"/>
      <c r="U28" s="105"/>
      <c r="V28" s="98"/>
      <c r="W28" s="98"/>
      <c r="X28" s="99"/>
      <c r="Y28" s="99"/>
      <c r="Z28" s="99"/>
      <c r="AA28" s="99"/>
      <c r="AB28" s="99"/>
      <c r="AC28" s="99"/>
      <c r="AD28" s="99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100"/>
      <c r="AT28" s="100"/>
      <c r="AU28" s="100"/>
      <c r="AV28" s="100"/>
      <c r="AW28" s="100"/>
      <c r="AX28" s="100"/>
      <c r="AY28" s="100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101"/>
      <c r="BO28" s="101"/>
      <c r="BP28" s="101"/>
      <c r="BQ28" s="101"/>
      <c r="BR28" s="101"/>
      <c r="BS28" s="101"/>
      <c r="BT28" s="101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102"/>
      <c r="CJ28" s="102"/>
      <c r="CK28" s="102"/>
      <c r="CL28" s="102"/>
      <c r="CM28" s="102"/>
      <c r="CN28" s="102"/>
      <c r="CO28" s="102"/>
      <c r="CP28" s="98"/>
      <c r="CQ28" s="98"/>
      <c r="CR28" s="98"/>
      <c r="CS28" s="98"/>
      <c r="CT28" s="98"/>
      <c r="CU28" s="98"/>
      <c r="CV28" s="98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</row>
    <row r="29" spans="1:115" ht="39.6" outlineLevel="1" x14ac:dyDescent="0.25">
      <c r="A29" s="94"/>
      <c r="B29" s="14" t="s">
        <v>86</v>
      </c>
      <c r="C29" s="15" t="s">
        <v>87</v>
      </c>
      <c r="D29" s="24" t="s">
        <v>88</v>
      </c>
      <c r="E29" s="95"/>
      <c r="F29" s="16" t="s">
        <v>89</v>
      </c>
      <c r="G29" s="17"/>
      <c r="H29" s="17" t="s">
        <v>36</v>
      </c>
      <c r="I29" s="17">
        <v>7</v>
      </c>
      <c r="J29" s="17">
        <v>5</v>
      </c>
      <c r="K29" s="18">
        <v>46167</v>
      </c>
      <c r="L29" s="18">
        <v>46171</v>
      </c>
      <c r="M29" s="17">
        <f t="shared" si="6"/>
        <v>4</v>
      </c>
      <c r="N29" s="20">
        <v>1</v>
      </c>
      <c r="O29" s="17">
        <f t="shared" si="7"/>
        <v>70</v>
      </c>
      <c r="P29" s="17">
        <f t="shared" si="8"/>
        <v>70</v>
      </c>
      <c r="Q29" s="103"/>
      <c r="R29" s="104"/>
      <c r="S29" s="105"/>
      <c r="T29" s="105"/>
      <c r="U29" s="105"/>
      <c r="V29" s="98"/>
      <c r="W29" s="98"/>
      <c r="X29" s="99"/>
      <c r="Y29" s="99"/>
      <c r="Z29" s="99"/>
      <c r="AA29" s="99"/>
      <c r="AB29" s="99"/>
      <c r="AC29" s="99"/>
      <c r="AD29" s="99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100"/>
      <c r="AT29" s="100"/>
      <c r="AU29" s="100"/>
      <c r="AV29" s="100"/>
      <c r="AW29" s="100"/>
      <c r="AX29" s="100"/>
      <c r="AY29" s="100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101"/>
      <c r="BO29" s="101"/>
      <c r="BP29" s="101"/>
      <c r="BQ29" s="101"/>
      <c r="BR29" s="101"/>
      <c r="BS29" s="101"/>
      <c r="BT29" s="101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102"/>
      <c r="CJ29" s="102"/>
      <c r="CK29" s="102"/>
      <c r="CL29" s="102"/>
      <c r="CM29" s="102"/>
      <c r="CN29" s="102"/>
      <c r="CO29" s="102"/>
      <c r="CP29" s="98"/>
      <c r="CQ29" s="98"/>
      <c r="CR29" s="98"/>
      <c r="CS29" s="98"/>
      <c r="CT29" s="98"/>
      <c r="CU29" s="98"/>
      <c r="CV29" s="98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</row>
    <row r="30" spans="1:115" ht="21" customHeight="1" x14ac:dyDescent="0.25">
      <c r="A30" s="61"/>
      <c r="B30" s="12">
        <v>2</v>
      </c>
      <c r="C30" s="106" t="s">
        <v>90</v>
      </c>
      <c r="D30" s="107"/>
      <c r="E30" s="10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91"/>
      <c r="R30" s="92"/>
      <c r="S30" s="93"/>
      <c r="T30" s="93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</row>
    <row r="31" spans="1:115" ht="79.2" x14ac:dyDescent="0.25">
      <c r="A31" s="61"/>
      <c r="B31" s="21">
        <v>2.1</v>
      </c>
      <c r="C31" s="15" t="s">
        <v>91</v>
      </c>
      <c r="D31" s="24" t="s">
        <v>92</v>
      </c>
      <c r="E31" s="95"/>
      <c r="F31" s="16" t="s">
        <v>93</v>
      </c>
      <c r="G31" s="16"/>
      <c r="H31" s="17" t="s">
        <v>37</v>
      </c>
      <c r="I31" s="17">
        <v>5</v>
      </c>
      <c r="J31" s="17">
        <v>7</v>
      </c>
      <c r="K31" s="18">
        <v>46170</v>
      </c>
      <c r="L31" s="18">
        <v>46174</v>
      </c>
      <c r="M31" s="17">
        <f t="shared" ref="M31:M38" si="9">DAYS360(K31,L31)</f>
        <v>3</v>
      </c>
      <c r="N31" s="20">
        <v>1</v>
      </c>
      <c r="O31" s="17">
        <f t="shared" ref="O31:O38" si="10">ROUND(I31*J31*SQRT(M31),1)</f>
        <v>60.6</v>
      </c>
      <c r="P31" s="17">
        <f t="shared" ref="P31:P38" si="11">ROUND(O31*N31, 1)</f>
        <v>60.6</v>
      </c>
      <c r="Q31" s="98"/>
      <c r="R31" s="98"/>
      <c r="S31" s="98"/>
      <c r="T31" s="98"/>
      <c r="U31" s="98"/>
      <c r="V31" s="98"/>
      <c r="W31" s="98"/>
      <c r="X31" s="99"/>
      <c r="Y31" s="99"/>
      <c r="Z31" s="99"/>
      <c r="AA31" s="99"/>
      <c r="AB31" s="99"/>
      <c r="AC31" s="99"/>
      <c r="AD31" s="99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100"/>
      <c r="AT31" s="100"/>
      <c r="AU31" s="100"/>
      <c r="AV31" s="100"/>
      <c r="AW31" s="100"/>
      <c r="AX31" s="100"/>
      <c r="AY31" s="100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101"/>
      <c r="BO31" s="101"/>
      <c r="BP31" s="101"/>
      <c r="BQ31" s="101"/>
      <c r="BR31" s="101"/>
      <c r="BS31" s="101"/>
      <c r="BT31" s="101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102"/>
      <c r="CJ31" s="102"/>
      <c r="CK31" s="102"/>
      <c r="CL31" s="102"/>
      <c r="CM31" s="102"/>
      <c r="CN31" s="102"/>
      <c r="CO31" s="102"/>
      <c r="CP31" s="98"/>
      <c r="CQ31" s="98"/>
      <c r="CR31" s="98"/>
      <c r="CS31" s="98"/>
      <c r="CT31" s="98"/>
      <c r="CU31" s="98"/>
      <c r="CV31" s="98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</row>
    <row r="32" spans="1:115" ht="39.6" x14ac:dyDescent="0.25">
      <c r="A32" s="61"/>
      <c r="B32" s="21">
        <v>2.2000000000000002</v>
      </c>
      <c r="C32" s="15" t="s">
        <v>94</v>
      </c>
      <c r="D32" s="24" t="s">
        <v>95</v>
      </c>
      <c r="E32" s="95"/>
      <c r="F32" s="16" t="s">
        <v>96</v>
      </c>
      <c r="G32" s="16"/>
      <c r="H32" s="17" t="s">
        <v>37</v>
      </c>
      <c r="I32" s="17">
        <v>5</v>
      </c>
      <c r="J32" s="17">
        <v>4</v>
      </c>
      <c r="K32" s="18">
        <v>46170</v>
      </c>
      <c r="L32" s="18">
        <v>46174</v>
      </c>
      <c r="M32" s="17">
        <f t="shared" si="9"/>
        <v>3</v>
      </c>
      <c r="N32" s="20">
        <v>1</v>
      </c>
      <c r="O32" s="17">
        <f t="shared" si="10"/>
        <v>34.6</v>
      </c>
      <c r="P32" s="17">
        <f t="shared" si="11"/>
        <v>34.6</v>
      </c>
      <c r="Q32" s="98"/>
      <c r="R32" s="98"/>
      <c r="S32" s="98"/>
      <c r="T32" s="98"/>
      <c r="U32" s="98"/>
      <c r="V32" s="98"/>
      <c r="W32" s="98"/>
      <c r="X32" s="99"/>
      <c r="Y32" s="99"/>
      <c r="Z32" s="99"/>
      <c r="AA32" s="99"/>
      <c r="AB32" s="99"/>
      <c r="AC32" s="99"/>
      <c r="AD32" s="99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100"/>
      <c r="AT32" s="100"/>
      <c r="AU32" s="100"/>
      <c r="AV32" s="100"/>
      <c r="AW32" s="100"/>
      <c r="AX32" s="100"/>
      <c r="AY32" s="100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101"/>
      <c r="BO32" s="101"/>
      <c r="BP32" s="101"/>
      <c r="BQ32" s="101"/>
      <c r="BR32" s="101"/>
      <c r="BS32" s="101"/>
      <c r="BT32" s="101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102"/>
      <c r="CJ32" s="102"/>
      <c r="CK32" s="102"/>
      <c r="CL32" s="102"/>
      <c r="CM32" s="102"/>
      <c r="CN32" s="102"/>
      <c r="CO32" s="102"/>
      <c r="CP32" s="98"/>
      <c r="CQ32" s="98"/>
      <c r="CR32" s="98"/>
      <c r="CS32" s="98"/>
      <c r="CT32" s="98"/>
      <c r="CU32" s="98"/>
      <c r="CV32" s="98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</row>
    <row r="33" spans="1:115" ht="66" x14ac:dyDescent="0.25">
      <c r="A33" s="61"/>
      <c r="B33" s="21">
        <v>2.2999999999999998</v>
      </c>
      <c r="C33" s="15" t="s">
        <v>97</v>
      </c>
      <c r="D33" s="24" t="s">
        <v>98</v>
      </c>
      <c r="E33" s="95"/>
      <c r="F33" s="16" t="s">
        <v>99</v>
      </c>
      <c r="G33" s="16"/>
      <c r="H33" s="17" t="s">
        <v>38</v>
      </c>
      <c r="I33" s="17">
        <v>4</v>
      </c>
      <c r="J33" s="17">
        <v>8</v>
      </c>
      <c r="K33" s="18">
        <v>46175</v>
      </c>
      <c r="L33" s="18">
        <v>46179</v>
      </c>
      <c r="M33" s="17">
        <f t="shared" si="9"/>
        <v>4</v>
      </c>
      <c r="N33" s="20">
        <v>1</v>
      </c>
      <c r="O33" s="17">
        <f t="shared" si="10"/>
        <v>64</v>
      </c>
      <c r="P33" s="17">
        <f t="shared" si="11"/>
        <v>64</v>
      </c>
      <c r="Q33" s="98"/>
      <c r="R33" s="98"/>
      <c r="S33" s="98"/>
      <c r="T33" s="98"/>
      <c r="U33" s="98"/>
      <c r="V33" s="98"/>
      <c r="W33" s="98"/>
      <c r="X33" s="99"/>
      <c r="Y33" s="99"/>
      <c r="Z33" s="99"/>
      <c r="AA33" s="99"/>
      <c r="AB33" s="99"/>
      <c r="AC33" s="99"/>
      <c r="AD33" s="99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100"/>
      <c r="AT33" s="100"/>
      <c r="AU33" s="100"/>
      <c r="AV33" s="100"/>
      <c r="AW33" s="100"/>
      <c r="AX33" s="100"/>
      <c r="AY33" s="100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101"/>
      <c r="BO33" s="101"/>
      <c r="BP33" s="101"/>
      <c r="BQ33" s="101"/>
      <c r="BR33" s="101"/>
      <c r="BS33" s="101"/>
      <c r="BT33" s="101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102"/>
      <c r="CJ33" s="102"/>
      <c r="CK33" s="102"/>
      <c r="CL33" s="102"/>
      <c r="CM33" s="102"/>
      <c r="CN33" s="102"/>
      <c r="CO33" s="102"/>
      <c r="CP33" s="98"/>
      <c r="CQ33" s="98"/>
      <c r="CR33" s="98"/>
      <c r="CS33" s="98"/>
      <c r="CT33" s="98"/>
      <c r="CU33" s="98"/>
      <c r="CV33" s="98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</row>
    <row r="34" spans="1:115" ht="52.8" x14ac:dyDescent="0.25">
      <c r="A34" s="61"/>
      <c r="B34" s="21">
        <v>2.4</v>
      </c>
      <c r="C34" s="15" t="s">
        <v>100</v>
      </c>
      <c r="D34" s="24" t="s">
        <v>101</v>
      </c>
      <c r="E34" s="95"/>
      <c r="F34" s="16" t="s">
        <v>102</v>
      </c>
      <c r="G34" s="16"/>
      <c r="H34" s="17" t="s">
        <v>38</v>
      </c>
      <c r="I34" s="17">
        <v>4</v>
      </c>
      <c r="J34" s="17">
        <v>7</v>
      </c>
      <c r="K34" s="18">
        <v>46175</v>
      </c>
      <c r="L34" s="18">
        <v>46184</v>
      </c>
      <c r="M34" s="17">
        <f t="shared" si="9"/>
        <v>9</v>
      </c>
      <c r="N34" s="20">
        <v>1</v>
      </c>
      <c r="O34" s="17">
        <f t="shared" si="10"/>
        <v>84</v>
      </c>
      <c r="P34" s="17">
        <f t="shared" si="11"/>
        <v>84</v>
      </c>
      <c r="Q34" s="98"/>
      <c r="R34" s="98"/>
      <c r="S34" s="98"/>
      <c r="T34" s="98"/>
      <c r="U34" s="98"/>
      <c r="V34" s="98"/>
      <c r="W34" s="98"/>
      <c r="X34" s="99"/>
      <c r="Y34" s="99"/>
      <c r="Z34" s="99"/>
      <c r="AA34" s="99"/>
      <c r="AB34" s="99"/>
      <c r="AC34" s="99"/>
      <c r="AD34" s="99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0"/>
      <c r="AT34" s="100"/>
      <c r="AU34" s="100"/>
      <c r="AV34" s="100"/>
      <c r="AW34" s="100"/>
      <c r="AX34" s="100"/>
      <c r="AY34" s="100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101"/>
      <c r="BO34" s="101"/>
      <c r="BP34" s="101"/>
      <c r="BQ34" s="101"/>
      <c r="BR34" s="101"/>
      <c r="BS34" s="101"/>
      <c r="BT34" s="101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102"/>
      <c r="CJ34" s="102"/>
      <c r="CK34" s="102"/>
      <c r="CL34" s="102"/>
      <c r="CM34" s="102"/>
      <c r="CN34" s="102"/>
      <c r="CO34" s="102"/>
      <c r="CP34" s="98"/>
      <c r="CQ34" s="98"/>
      <c r="CR34" s="98"/>
      <c r="CS34" s="98"/>
      <c r="CT34" s="98"/>
      <c r="CU34" s="98"/>
      <c r="CV34" s="98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</row>
    <row r="35" spans="1:115" ht="171.6" x14ac:dyDescent="0.25">
      <c r="A35" s="61"/>
      <c r="B35" s="21">
        <v>2.5</v>
      </c>
      <c r="C35" s="15" t="s">
        <v>103</v>
      </c>
      <c r="D35" s="24" t="s">
        <v>104</v>
      </c>
      <c r="E35" s="95"/>
      <c r="F35" s="16" t="s">
        <v>105</v>
      </c>
      <c r="G35" s="16" t="s">
        <v>106</v>
      </c>
      <c r="H35" s="17" t="s">
        <v>39</v>
      </c>
      <c r="I35" s="17">
        <v>4</v>
      </c>
      <c r="J35" s="17">
        <v>9</v>
      </c>
      <c r="K35" s="18">
        <v>46170</v>
      </c>
      <c r="L35" s="18">
        <v>46184</v>
      </c>
      <c r="M35" s="17">
        <f t="shared" si="9"/>
        <v>13</v>
      </c>
      <c r="N35" s="20">
        <v>1</v>
      </c>
      <c r="O35" s="17">
        <f t="shared" si="10"/>
        <v>129.80000000000001</v>
      </c>
      <c r="P35" s="17">
        <f t="shared" si="11"/>
        <v>129.80000000000001</v>
      </c>
      <c r="Q35" s="98"/>
      <c r="R35" s="98"/>
      <c r="S35" s="98"/>
      <c r="T35" s="98"/>
      <c r="U35" s="98"/>
      <c r="V35" s="98"/>
      <c r="W35" s="98"/>
      <c r="X35" s="99"/>
      <c r="Y35" s="99"/>
      <c r="Z35" s="99"/>
      <c r="AA35" s="99"/>
      <c r="AB35" s="99"/>
      <c r="AC35" s="99"/>
      <c r="AD35" s="99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0"/>
      <c r="AT35" s="100"/>
      <c r="AU35" s="100"/>
      <c r="AV35" s="100"/>
      <c r="AW35" s="100"/>
      <c r="AX35" s="100"/>
      <c r="AY35" s="100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101"/>
      <c r="BO35" s="101"/>
      <c r="BP35" s="101"/>
      <c r="BQ35" s="101"/>
      <c r="BR35" s="101"/>
      <c r="BS35" s="101"/>
      <c r="BT35" s="101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102"/>
      <c r="CJ35" s="102"/>
      <c r="CK35" s="102"/>
      <c r="CL35" s="102"/>
      <c r="CM35" s="102"/>
      <c r="CN35" s="102"/>
      <c r="CO35" s="102"/>
      <c r="CP35" s="98"/>
      <c r="CQ35" s="98"/>
      <c r="CR35" s="98"/>
      <c r="CS35" s="98"/>
      <c r="CT35" s="98"/>
      <c r="CU35" s="98"/>
      <c r="CV35" s="98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</row>
    <row r="36" spans="1:115" ht="171.6" x14ac:dyDescent="0.25">
      <c r="A36" s="61"/>
      <c r="B36" s="21">
        <v>2.6</v>
      </c>
      <c r="C36" s="15" t="s">
        <v>107</v>
      </c>
      <c r="D36" s="24" t="s">
        <v>108</v>
      </c>
      <c r="E36" s="95"/>
      <c r="F36" s="16" t="s">
        <v>109</v>
      </c>
      <c r="G36" s="16" t="s">
        <v>106</v>
      </c>
      <c r="H36" s="17" t="s">
        <v>39</v>
      </c>
      <c r="I36" s="17">
        <v>4</v>
      </c>
      <c r="J36" s="17">
        <v>9</v>
      </c>
      <c r="K36" s="18">
        <v>46170</v>
      </c>
      <c r="L36" s="18">
        <v>46184</v>
      </c>
      <c r="M36" s="17">
        <f t="shared" si="9"/>
        <v>13</v>
      </c>
      <c r="N36" s="20">
        <v>1</v>
      </c>
      <c r="O36" s="17">
        <f t="shared" si="10"/>
        <v>129.80000000000001</v>
      </c>
      <c r="P36" s="17">
        <f t="shared" si="11"/>
        <v>129.80000000000001</v>
      </c>
      <c r="Q36" s="98"/>
      <c r="R36" s="98"/>
      <c r="S36" s="98"/>
      <c r="T36" s="98"/>
      <c r="U36" s="98"/>
      <c r="V36" s="98"/>
      <c r="W36" s="98"/>
      <c r="X36" s="99"/>
      <c r="Y36" s="99"/>
      <c r="Z36" s="99"/>
      <c r="AA36" s="99"/>
      <c r="AB36" s="99"/>
      <c r="AC36" s="99"/>
      <c r="AD36" s="99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0"/>
      <c r="AT36" s="100"/>
      <c r="AU36" s="100"/>
      <c r="AV36" s="100"/>
      <c r="AW36" s="100"/>
      <c r="AX36" s="100"/>
      <c r="AY36" s="100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101"/>
      <c r="BO36" s="101"/>
      <c r="BP36" s="101"/>
      <c r="BQ36" s="101"/>
      <c r="BR36" s="101"/>
      <c r="BS36" s="101"/>
      <c r="BT36" s="101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102"/>
      <c r="CJ36" s="102"/>
      <c r="CK36" s="102"/>
      <c r="CL36" s="102"/>
      <c r="CM36" s="102"/>
      <c r="CN36" s="102"/>
      <c r="CO36" s="102"/>
      <c r="CP36" s="98"/>
      <c r="CQ36" s="98"/>
      <c r="CR36" s="98"/>
      <c r="CS36" s="98"/>
      <c r="CT36" s="98"/>
      <c r="CU36" s="98"/>
      <c r="CV36" s="98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</row>
    <row r="37" spans="1:115" ht="105.6" x14ac:dyDescent="0.25">
      <c r="A37" s="61"/>
      <c r="B37" s="21">
        <v>2.7</v>
      </c>
      <c r="C37" s="15" t="s">
        <v>110</v>
      </c>
      <c r="D37" s="24" t="s">
        <v>111</v>
      </c>
      <c r="E37" s="95"/>
      <c r="F37" s="16" t="s">
        <v>112</v>
      </c>
      <c r="G37" s="16"/>
      <c r="H37" s="17" t="s">
        <v>36</v>
      </c>
      <c r="I37" s="17">
        <v>8</v>
      </c>
      <c r="J37" s="17">
        <v>5</v>
      </c>
      <c r="K37" s="18">
        <v>46175</v>
      </c>
      <c r="L37" s="18">
        <v>46179</v>
      </c>
      <c r="M37" s="17">
        <f t="shared" si="9"/>
        <v>4</v>
      </c>
      <c r="N37" s="20">
        <v>1</v>
      </c>
      <c r="O37" s="17">
        <f t="shared" si="10"/>
        <v>80</v>
      </c>
      <c r="P37" s="17">
        <f t="shared" si="11"/>
        <v>80</v>
      </c>
      <c r="Q37" s="98"/>
      <c r="R37" s="98"/>
      <c r="S37" s="98"/>
      <c r="T37" s="98"/>
      <c r="U37" s="98"/>
      <c r="V37" s="98"/>
      <c r="W37" s="98"/>
      <c r="X37" s="99"/>
      <c r="Y37" s="99"/>
      <c r="Z37" s="99"/>
      <c r="AA37" s="99"/>
      <c r="AB37" s="99"/>
      <c r="AC37" s="99"/>
      <c r="AD37" s="99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0"/>
      <c r="AT37" s="100"/>
      <c r="AU37" s="100"/>
      <c r="AV37" s="100"/>
      <c r="AW37" s="100"/>
      <c r="AX37" s="100"/>
      <c r="AY37" s="100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101"/>
      <c r="BO37" s="101"/>
      <c r="BP37" s="101"/>
      <c r="BQ37" s="101"/>
      <c r="BR37" s="101"/>
      <c r="BS37" s="101"/>
      <c r="BT37" s="101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102"/>
      <c r="CJ37" s="102"/>
      <c r="CK37" s="102"/>
      <c r="CL37" s="102"/>
      <c r="CM37" s="102"/>
      <c r="CN37" s="102"/>
      <c r="CO37" s="102"/>
      <c r="CP37" s="98"/>
      <c r="CQ37" s="98"/>
      <c r="CR37" s="98"/>
      <c r="CS37" s="98"/>
      <c r="CT37" s="98"/>
      <c r="CU37" s="98"/>
      <c r="CV37" s="98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</row>
    <row r="38" spans="1:115" ht="105.6" x14ac:dyDescent="0.25">
      <c r="A38" s="61"/>
      <c r="B38" s="21">
        <v>2.8</v>
      </c>
      <c r="C38" s="15" t="s">
        <v>113</v>
      </c>
      <c r="D38" s="24" t="s">
        <v>114</v>
      </c>
      <c r="E38" s="95"/>
      <c r="F38" s="16" t="s">
        <v>115</v>
      </c>
      <c r="G38" s="16"/>
      <c r="H38" s="17" t="s">
        <v>36</v>
      </c>
      <c r="I38" s="17">
        <v>8</v>
      </c>
      <c r="J38" s="17">
        <v>5</v>
      </c>
      <c r="K38" s="18">
        <v>46175</v>
      </c>
      <c r="L38" s="18">
        <v>46179</v>
      </c>
      <c r="M38" s="17">
        <f t="shared" si="9"/>
        <v>4</v>
      </c>
      <c r="N38" s="20">
        <v>1</v>
      </c>
      <c r="O38" s="17">
        <f t="shared" si="10"/>
        <v>80</v>
      </c>
      <c r="P38" s="17">
        <f t="shared" si="11"/>
        <v>80</v>
      </c>
      <c r="Q38" s="98"/>
      <c r="R38" s="98"/>
      <c r="S38" s="98"/>
      <c r="T38" s="98"/>
      <c r="U38" s="98"/>
      <c r="V38" s="98"/>
      <c r="W38" s="98"/>
      <c r="X38" s="99"/>
      <c r="Y38" s="99"/>
      <c r="Z38" s="99"/>
      <c r="AA38" s="99"/>
      <c r="AB38" s="99"/>
      <c r="AC38" s="99"/>
      <c r="AD38" s="99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0"/>
      <c r="AT38" s="100"/>
      <c r="AU38" s="100"/>
      <c r="AV38" s="100"/>
      <c r="AW38" s="100"/>
      <c r="AX38" s="100"/>
      <c r="AY38" s="100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101"/>
      <c r="BO38" s="101"/>
      <c r="BP38" s="101"/>
      <c r="BQ38" s="101"/>
      <c r="BR38" s="101"/>
      <c r="BS38" s="101"/>
      <c r="BT38" s="101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102"/>
      <c r="CJ38" s="102"/>
      <c r="CK38" s="102"/>
      <c r="CL38" s="102"/>
      <c r="CM38" s="102"/>
      <c r="CN38" s="102"/>
      <c r="CO38" s="102"/>
      <c r="CP38" s="98"/>
      <c r="CQ38" s="98"/>
      <c r="CR38" s="98"/>
      <c r="CS38" s="98"/>
      <c r="CT38" s="98"/>
      <c r="CU38" s="98"/>
      <c r="CV38" s="98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</row>
    <row r="39" spans="1:115" ht="21" customHeight="1" x14ac:dyDescent="0.25">
      <c r="A39" s="61"/>
      <c r="B39" s="12">
        <v>3</v>
      </c>
      <c r="C39" s="106" t="s">
        <v>116</v>
      </c>
      <c r="D39" s="107"/>
      <c r="E39" s="107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91"/>
      <c r="R39" s="92"/>
      <c r="S39" s="93"/>
      <c r="T39" s="9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</row>
    <row r="40" spans="1:115" ht="52.8" x14ac:dyDescent="0.25">
      <c r="A40" s="61"/>
      <c r="B40" s="21">
        <v>3.1</v>
      </c>
      <c r="C40" s="15" t="s">
        <v>117</v>
      </c>
      <c r="D40" s="24" t="s">
        <v>118</v>
      </c>
      <c r="E40" s="95"/>
      <c r="F40" s="16" t="s">
        <v>119</v>
      </c>
      <c r="G40" s="16"/>
      <c r="H40" s="17" t="s">
        <v>36</v>
      </c>
      <c r="I40" s="17">
        <v>7</v>
      </c>
      <c r="J40" s="17">
        <v>5</v>
      </c>
      <c r="K40" s="18">
        <v>46186</v>
      </c>
      <c r="L40" s="18">
        <v>46189</v>
      </c>
      <c r="M40" s="17">
        <f t="shared" ref="M40:M53" si="12">DAYS360(K40,L40)</f>
        <v>3</v>
      </c>
      <c r="N40" s="20">
        <v>1</v>
      </c>
      <c r="O40" s="17">
        <f t="shared" ref="O40:O53" si="13">ROUND(I40*J40*SQRT(M40),1)</f>
        <v>60.6</v>
      </c>
      <c r="P40" s="17">
        <f t="shared" ref="P40:P53" si="14">ROUND(O40*N40, 1)</f>
        <v>60.6</v>
      </c>
      <c r="Q40" s="98"/>
      <c r="R40" s="98"/>
      <c r="S40" s="98"/>
      <c r="T40" s="98"/>
      <c r="U40" s="98"/>
      <c r="V40" s="98"/>
      <c r="W40" s="98"/>
      <c r="X40" s="99"/>
      <c r="Y40" s="99"/>
      <c r="Z40" s="99"/>
      <c r="AA40" s="99"/>
      <c r="AB40" s="99"/>
      <c r="AC40" s="99"/>
      <c r="AD40" s="99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0"/>
      <c r="AT40" s="100"/>
      <c r="AU40" s="100"/>
      <c r="AV40" s="100"/>
      <c r="AW40" s="100"/>
      <c r="AX40" s="100"/>
      <c r="AY40" s="100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101"/>
      <c r="BO40" s="101"/>
      <c r="BP40" s="101"/>
      <c r="BQ40" s="101"/>
      <c r="BR40" s="101"/>
      <c r="BS40" s="101"/>
      <c r="BT40" s="101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102"/>
      <c r="CJ40" s="102"/>
      <c r="CK40" s="102"/>
      <c r="CL40" s="102"/>
      <c r="CM40" s="102"/>
      <c r="CN40" s="102"/>
      <c r="CO40" s="102"/>
      <c r="CP40" s="98"/>
      <c r="CQ40" s="98"/>
      <c r="CR40" s="98"/>
      <c r="CS40" s="98"/>
      <c r="CT40" s="98"/>
      <c r="CU40" s="98"/>
      <c r="CV40" s="98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</row>
    <row r="41" spans="1:115" ht="52.8" x14ac:dyDescent="0.25">
      <c r="A41" s="61"/>
      <c r="B41" s="21">
        <v>3.2</v>
      </c>
      <c r="C41" s="15" t="s">
        <v>117</v>
      </c>
      <c r="D41" s="24" t="s">
        <v>118</v>
      </c>
      <c r="E41" s="95"/>
      <c r="F41" s="16" t="s">
        <v>119</v>
      </c>
      <c r="G41" s="16"/>
      <c r="H41" s="17" t="s">
        <v>37</v>
      </c>
      <c r="I41" s="17">
        <v>7</v>
      </c>
      <c r="J41" s="17">
        <v>5</v>
      </c>
      <c r="K41" s="18">
        <v>46186</v>
      </c>
      <c r="L41" s="18">
        <v>46189</v>
      </c>
      <c r="M41" s="17">
        <f t="shared" si="12"/>
        <v>3</v>
      </c>
      <c r="N41" s="20">
        <v>1</v>
      </c>
      <c r="O41" s="17">
        <f t="shared" si="13"/>
        <v>60.6</v>
      </c>
      <c r="P41" s="17">
        <f t="shared" si="14"/>
        <v>60.6</v>
      </c>
      <c r="Q41" s="98"/>
      <c r="R41" s="98"/>
      <c r="S41" s="98"/>
      <c r="T41" s="98"/>
      <c r="U41" s="98"/>
      <c r="V41" s="98"/>
      <c r="W41" s="98"/>
      <c r="X41" s="99"/>
      <c r="Y41" s="99"/>
      <c r="Z41" s="99"/>
      <c r="AA41" s="99"/>
      <c r="AB41" s="99"/>
      <c r="AC41" s="99"/>
      <c r="AD41" s="99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0"/>
      <c r="AT41" s="100"/>
      <c r="AU41" s="100"/>
      <c r="AV41" s="100"/>
      <c r="AW41" s="100"/>
      <c r="AX41" s="100"/>
      <c r="AY41" s="100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101"/>
      <c r="BO41" s="101"/>
      <c r="BP41" s="101"/>
      <c r="BQ41" s="101"/>
      <c r="BR41" s="101"/>
      <c r="BS41" s="101"/>
      <c r="BT41" s="101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102"/>
      <c r="CJ41" s="102"/>
      <c r="CK41" s="102"/>
      <c r="CL41" s="102"/>
      <c r="CM41" s="102"/>
      <c r="CN41" s="102"/>
      <c r="CO41" s="102"/>
      <c r="CP41" s="98"/>
      <c r="CQ41" s="98"/>
      <c r="CR41" s="98"/>
      <c r="CS41" s="98"/>
      <c r="CT41" s="98"/>
      <c r="CU41" s="98"/>
      <c r="CV41" s="98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</row>
    <row r="42" spans="1:115" ht="52.8" x14ac:dyDescent="0.25">
      <c r="A42" s="61"/>
      <c r="B42" s="21">
        <v>3.3</v>
      </c>
      <c r="C42" s="15" t="s">
        <v>117</v>
      </c>
      <c r="D42" s="24" t="s">
        <v>118</v>
      </c>
      <c r="E42" s="95"/>
      <c r="F42" s="16" t="s">
        <v>119</v>
      </c>
      <c r="G42" s="16"/>
      <c r="H42" s="17" t="s">
        <v>39</v>
      </c>
      <c r="I42" s="17">
        <v>7</v>
      </c>
      <c r="J42" s="17">
        <v>5</v>
      </c>
      <c r="K42" s="18">
        <v>46186</v>
      </c>
      <c r="L42" s="18">
        <v>46189</v>
      </c>
      <c r="M42" s="17">
        <f t="shared" si="12"/>
        <v>3</v>
      </c>
      <c r="N42" s="20">
        <v>1</v>
      </c>
      <c r="O42" s="17">
        <f t="shared" si="13"/>
        <v>60.6</v>
      </c>
      <c r="P42" s="17">
        <f t="shared" si="14"/>
        <v>60.6</v>
      </c>
      <c r="Q42" s="98"/>
      <c r="R42" s="98"/>
      <c r="S42" s="98"/>
      <c r="T42" s="98"/>
      <c r="U42" s="98"/>
      <c r="V42" s="98"/>
      <c r="W42" s="98"/>
      <c r="X42" s="99"/>
      <c r="Y42" s="99"/>
      <c r="Z42" s="99"/>
      <c r="AA42" s="99"/>
      <c r="AB42" s="99"/>
      <c r="AC42" s="99"/>
      <c r="AD42" s="99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0"/>
      <c r="AT42" s="100"/>
      <c r="AU42" s="100"/>
      <c r="AV42" s="100"/>
      <c r="AW42" s="100"/>
      <c r="AX42" s="100"/>
      <c r="AY42" s="100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101"/>
      <c r="BO42" s="101"/>
      <c r="BP42" s="101"/>
      <c r="BQ42" s="101"/>
      <c r="BR42" s="101"/>
      <c r="BS42" s="101"/>
      <c r="BT42" s="101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102"/>
      <c r="CJ42" s="102"/>
      <c r="CK42" s="102"/>
      <c r="CL42" s="102"/>
      <c r="CM42" s="102"/>
      <c r="CN42" s="102"/>
      <c r="CO42" s="102"/>
      <c r="CP42" s="98"/>
      <c r="CQ42" s="98"/>
      <c r="CR42" s="98"/>
      <c r="CS42" s="98"/>
      <c r="CT42" s="98"/>
      <c r="CU42" s="98"/>
      <c r="CV42" s="98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</row>
    <row r="43" spans="1:115" ht="52.8" x14ac:dyDescent="0.25">
      <c r="A43" s="61"/>
      <c r="B43" s="21">
        <v>3.4</v>
      </c>
      <c r="C43" s="15" t="s">
        <v>117</v>
      </c>
      <c r="D43" s="24" t="s">
        <v>118</v>
      </c>
      <c r="E43" s="95"/>
      <c r="F43" s="16" t="s">
        <v>119</v>
      </c>
      <c r="G43" s="16"/>
      <c r="H43" s="17" t="s">
        <v>38</v>
      </c>
      <c r="I43" s="17">
        <v>7</v>
      </c>
      <c r="J43" s="17">
        <v>5</v>
      </c>
      <c r="K43" s="18">
        <v>46186</v>
      </c>
      <c r="L43" s="18">
        <v>46189</v>
      </c>
      <c r="M43" s="17">
        <f t="shared" si="12"/>
        <v>3</v>
      </c>
      <c r="N43" s="20">
        <v>1</v>
      </c>
      <c r="O43" s="17">
        <f t="shared" si="13"/>
        <v>60.6</v>
      </c>
      <c r="P43" s="17">
        <f t="shared" si="14"/>
        <v>60.6</v>
      </c>
      <c r="Q43" s="98"/>
      <c r="R43" s="98"/>
      <c r="S43" s="98"/>
      <c r="T43" s="98"/>
      <c r="U43" s="98"/>
      <c r="V43" s="98"/>
      <c r="W43" s="98"/>
      <c r="X43" s="99"/>
      <c r="Y43" s="99"/>
      <c r="Z43" s="99"/>
      <c r="AA43" s="99"/>
      <c r="AB43" s="99"/>
      <c r="AC43" s="99"/>
      <c r="AD43" s="99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0"/>
      <c r="AT43" s="100"/>
      <c r="AU43" s="100"/>
      <c r="AV43" s="100"/>
      <c r="AW43" s="100"/>
      <c r="AX43" s="100"/>
      <c r="AY43" s="100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101"/>
      <c r="BO43" s="101"/>
      <c r="BP43" s="101"/>
      <c r="BQ43" s="101"/>
      <c r="BR43" s="101"/>
      <c r="BS43" s="101"/>
      <c r="BT43" s="101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102"/>
      <c r="CJ43" s="102"/>
      <c r="CK43" s="102"/>
      <c r="CL43" s="102"/>
      <c r="CM43" s="102"/>
      <c r="CN43" s="102"/>
      <c r="CO43" s="102"/>
      <c r="CP43" s="98"/>
      <c r="CQ43" s="98"/>
      <c r="CR43" s="98"/>
      <c r="CS43" s="98"/>
      <c r="CT43" s="98"/>
      <c r="CU43" s="98"/>
      <c r="CV43" s="98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</row>
    <row r="44" spans="1:115" ht="39.6" x14ac:dyDescent="0.25">
      <c r="A44" s="61"/>
      <c r="B44" s="21">
        <v>3.5</v>
      </c>
      <c r="C44" s="15" t="s">
        <v>94</v>
      </c>
      <c r="D44" s="24" t="s">
        <v>120</v>
      </c>
      <c r="E44" s="95"/>
      <c r="F44" s="16" t="s">
        <v>96</v>
      </c>
      <c r="G44" s="16"/>
      <c r="H44" s="17" t="s">
        <v>37</v>
      </c>
      <c r="I44" s="17">
        <v>3</v>
      </c>
      <c r="J44" s="17">
        <v>4</v>
      </c>
      <c r="K44" s="18">
        <v>46186</v>
      </c>
      <c r="L44" s="18">
        <v>46205</v>
      </c>
      <c r="M44" s="17">
        <f t="shared" si="12"/>
        <v>19</v>
      </c>
      <c r="N44" s="20">
        <v>0</v>
      </c>
      <c r="O44" s="17">
        <f t="shared" si="13"/>
        <v>52.3</v>
      </c>
      <c r="P44" s="17">
        <f t="shared" si="14"/>
        <v>0</v>
      </c>
      <c r="Q44" s="98"/>
      <c r="R44" s="98"/>
      <c r="S44" s="98"/>
      <c r="T44" s="98"/>
      <c r="U44" s="98"/>
      <c r="V44" s="98"/>
      <c r="W44" s="98"/>
      <c r="X44" s="99"/>
      <c r="Y44" s="99"/>
      <c r="Z44" s="99"/>
      <c r="AA44" s="99"/>
      <c r="AB44" s="99"/>
      <c r="AC44" s="99"/>
      <c r="AD44" s="99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0"/>
      <c r="AT44" s="100"/>
      <c r="AU44" s="100"/>
      <c r="AV44" s="100"/>
      <c r="AW44" s="100"/>
      <c r="AX44" s="100"/>
      <c r="AY44" s="100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101"/>
      <c r="BO44" s="101"/>
      <c r="BP44" s="101"/>
      <c r="BQ44" s="101"/>
      <c r="BR44" s="101"/>
      <c r="BS44" s="101"/>
      <c r="BT44" s="101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102"/>
      <c r="CJ44" s="102"/>
      <c r="CK44" s="102"/>
      <c r="CL44" s="102"/>
      <c r="CM44" s="102"/>
      <c r="CN44" s="102"/>
      <c r="CO44" s="102"/>
      <c r="CP44" s="98"/>
      <c r="CQ44" s="98"/>
      <c r="CR44" s="98"/>
      <c r="CS44" s="98"/>
      <c r="CT44" s="98"/>
      <c r="CU44" s="98"/>
      <c r="CV44" s="98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</row>
    <row r="45" spans="1:115" ht="132" x14ac:dyDescent="0.25">
      <c r="A45" s="61"/>
      <c r="B45" s="21">
        <v>3.6</v>
      </c>
      <c r="C45" s="15" t="s">
        <v>121</v>
      </c>
      <c r="D45" s="24" t="s">
        <v>120</v>
      </c>
      <c r="E45" s="95"/>
      <c r="F45" s="16" t="s">
        <v>122</v>
      </c>
      <c r="G45" s="16"/>
      <c r="H45" s="17" t="s">
        <v>37</v>
      </c>
      <c r="I45" s="17">
        <v>2</v>
      </c>
      <c r="J45" s="17">
        <v>9</v>
      </c>
      <c r="K45" s="18">
        <v>46189</v>
      </c>
      <c r="L45" s="18">
        <v>46205</v>
      </c>
      <c r="M45" s="17">
        <f t="shared" si="12"/>
        <v>16</v>
      </c>
      <c r="N45" s="20">
        <v>0</v>
      </c>
      <c r="O45" s="17">
        <f t="shared" si="13"/>
        <v>72</v>
      </c>
      <c r="P45" s="17">
        <f t="shared" si="14"/>
        <v>0</v>
      </c>
      <c r="Q45" s="98"/>
      <c r="R45" s="98"/>
      <c r="S45" s="98"/>
      <c r="T45" s="98"/>
      <c r="U45" s="98"/>
      <c r="V45" s="98"/>
      <c r="W45" s="98"/>
      <c r="X45" s="99"/>
      <c r="Y45" s="99"/>
      <c r="Z45" s="99"/>
      <c r="AA45" s="99"/>
      <c r="AB45" s="99"/>
      <c r="AC45" s="99"/>
      <c r="AD45" s="99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0"/>
      <c r="AT45" s="100"/>
      <c r="AU45" s="100"/>
      <c r="AV45" s="100"/>
      <c r="AW45" s="100"/>
      <c r="AX45" s="100"/>
      <c r="AY45" s="100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101"/>
      <c r="BO45" s="101"/>
      <c r="BP45" s="101"/>
      <c r="BQ45" s="101"/>
      <c r="BR45" s="101"/>
      <c r="BS45" s="101"/>
      <c r="BT45" s="101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102"/>
      <c r="CJ45" s="102"/>
      <c r="CK45" s="102"/>
      <c r="CL45" s="102"/>
      <c r="CM45" s="102"/>
      <c r="CN45" s="102"/>
      <c r="CO45" s="102"/>
      <c r="CP45" s="98"/>
      <c r="CQ45" s="98"/>
      <c r="CR45" s="98"/>
      <c r="CS45" s="98"/>
      <c r="CT45" s="98"/>
      <c r="CU45" s="98"/>
      <c r="CV45" s="98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</row>
    <row r="46" spans="1:115" ht="184.8" x14ac:dyDescent="0.25">
      <c r="A46" s="61"/>
      <c r="B46" s="21">
        <v>3.7</v>
      </c>
      <c r="C46" s="15" t="s">
        <v>103</v>
      </c>
      <c r="D46" s="24" t="s">
        <v>104</v>
      </c>
      <c r="E46" s="95"/>
      <c r="F46" s="16" t="s">
        <v>123</v>
      </c>
      <c r="G46" s="16"/>
      <c r="H46" s="17" t="s">
        <v>39</v>
      </c>
      <c r="I46" s="17">
        <v>5</v>
      </c>
      <c r="J46" s="17">
        <v>9</v>
      </c>
      <c r="K46" s="18">
        <v>46198</v>
      </c>
      <c r="L46" s="18">
        <v>46205</v>
      </c>
      <c r="M46" s="17">
        <f t="shared" si="12"/>
        <v>7</v>
      </c>
      <c r="N46" s="20">
        <v>0</v>
      </c>
      <c r="O46" s="17">
        <f t="shared" si="13"/>
        <v>119.1</v>
      </c>
      <c r="P46" s="17">
        <f t="shared" si="14"/>
        <v>0</v>
      </c>
      <c r="Q46" s="98"/>
      <c r="R46" s="98"/>
      <c r="S46" s="98"/>
      <c r="T46" s="98"/>
      <c r="U46" s="98"/>
      <c r="V46" s="98"/>
      <c r="W46" s="98"/>
      <c r="X46" s="99"/>
      <c r="Y46" s="99"/>
      <c r="Z46" s="99"/>
      <c r="AA46" s="99"/>
      <c r="AB46" s="99"/>
      <c r="AC46" s="99"/>
      <c r="AD46" s="99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0"/>
      <c r="AT46" s="100"/>
      <c r="AU46" s="100"/>
      <c r="AV46" s="100"/>
      <c r="AW46" s="100"/>
      <c r="AX46" s="100"/>
      <c r="AY46" s="100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101"/>
      <c r="BO46" s="101"/>
      <c r="BP46" s="101"/>
      <c r="BQ46" s="101"/>
      <c r="BR46" s="101"/>
      <c r="BS46" s="101"/>
      <c r="BT46" s="101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102"/>
      <c r="CJ46" s="102"/>
      <c r="CK46" s="102"/>
      <c r="CL46" s="102"/>
      <c r="CM46" s="102"/>
      <c r="CN46" s="102"/>
      <c r="CO46" s="102"/>
      <c r="CP46" s="98"/>
      <c r="CQ46" s="98"/>
      <c r="CR46" s="98"/>
      <c r="CS46" s="98"/>
      <c r="CT46" s="98"/>
      <c r="CU46" s="98"/>
      <c r="CV46" s="98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</row>
    <row r="47" spans="1:115" ht="171.6" x14ac:dyDescent="0.25">
      <c r="A47" s="61"/>
      <c r="B47" s="21">
        <v>3.8</v>
      </c>
      <c r="C47" s="15" t="s">
        <v>107</v>
      </c>
      <c r="D47" s="24" t="s">
        <v>108</v>
      </c>
      <c r="E47" s="95"/>
      <c r="F47" s="16" t="s">
        <v>124</v>
      </c>
      <c r="G47" s="16"/>
      <c r="H47" s="17" t="s">
        <v>39</v>
      </c>
      <c r="I47" s="17">
        <v>5</v>
      </c>
      <c r="J47" s="17">
        <v>9</v>
      </c>
      <c r="K47" s="18">
        <v>46198</v>
      </c>
      <c r="L47" s="18">
        <v>46205</v>
      </c>
      <c r="M47" s="17">
        <f t="shared" si="12"/>
        <v>7</v>
      </c>
      <c r="N47" s="20">
        <v>0</v>
      </c>
      <c r="O47" s="17">
        <f t="shared" si="13"/>
        <v>119.1</v>
      </c>
      <c r="P47" s="17">
        <f t="shared" si="14"/>
        <v>0</v>
      </c>
      <c r="Q47" s="98"/>
      <c r="R47" s="98"/>
      <c r="S47" s="98"/>
      <c r="T47" s="98"/>
      <c r="U47" s="98"/>
      <c r="V47" s="98"/>
      <c r="W47" s="98"/>
      <c r="X47" s="99"/>
      <c r="Y47" s="99"/>
      <c r="Z47" s="99"/>
      <c r="AA47" s="99"/>
      <c r="AB47" s="99"/>
      <c r="AC47" s="99"/>
      <c r="AD47" s="99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0"/>
      <c r="AT47" s="100"/>
      <c r="AU47" s="100"/>
      <c r="AV47" s="100"/>
      <c r="AW47" s="100"/>
      <c r="AX47" s="100"/>
      <c r="AY47" s="100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101"/>
      <c r="BO47" s="101"/>
      <c r="BP47" s="101"/>
      <c r="BQ47" s="101"/>
      <c r="BR47" s="101"/>
      <c r="BS47" s="101"/>
      <c r="BT47" s="101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102"/>
      <c r="CJ47" s="102"/>
      <c r="CK47" s="102"/>
      <c r="CL47" s="102"/>
      <c r="CM47" s="102"/>
      <c r="CN47" s="102"/>
      <c r="CO47" s="102"/>
      <c r="CP47" s="98"/>
      <c r="CQ47" s="98"/>
      <c r="CR47" s="98"/>
      <c r="CS47" s="98"/>
      <c r="CT47" s="98"/>
      <c r="CU47" s="98"/>
      <c r="CV47" s="98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</row>
    <row r="48" spans="1:115" ht="52.8" x14ac:dyDescent="0.25">
      <c r="A48" s="61"/>
      <c r="B48" s="21">
        <v>3.9</v>
      </c>
      <c r="C48" s="15" t="s">
        <v>125</v>
      </c>
      <c r="D48" s="24" t="s">
        <v>126</v>
      </c>
      <c r="E48" s="95"/>
      <c r="F48" s="16" t="s">
        <v>127</v>
      </c>
      <c r="G48" s="16"/>
      <c r="H48" s="17" t="s">
        <v>38</v>
      </c>
      <c r="I48" s="17">
        <v>5</v>
      </c>
      <c r="J48" s="17">
        <v>9</v>
      </c>
      <c r="K48" s="18">
        <v>46198</v>
      </c>
      <c r="L48" s="18">
        <v>46205</v>
      </c>
      <c r="M48" s="17">
        <f t="shared" si="12"/>
        <v>7</v>
      </c>
      <c r="N48" s="20">
        <v>0</v>
      </c>
      <c r="O48" s="17">
        <f t="shared" si="13"/>
        <v>119.1</v>
      </c>
      <c r="P48" s="17">
        <f t="shared" si="14"/>
        <v>0</v>
      </c>
      <c r="Q48" s="98"/>
      <c r="R48" s="98"/>
      <c r="S48" s="98"/>
      <c r="T48" s="98"/>
      <c r="U48" s="98"/>
      <c r="V48" s="98"/>
      <c r="W48" s="98"/>
      <c r="X48" s="99"/>
      <c r="Y48" s="99"/>
      <c r="Z48" s="99"/>
      <c r="AA48" s="99"/>
      <c r="AB48" s="99"/>
      <c r="AC48" s="99"/>
      <c r="AD48" s="99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0"/>
      <c r="AT48" s="100"/>
      <c r="AU48" s="100"/>
      <c r="AV48" s="100"/>
      <c r="AW48" s="100"/>
      <c r="AX48" s="100"/>
      <c r="AY48" s="100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101"/>
      <c r="BO48" s="101"/>
      <c r="BP48" s="101"/>
      <c r="BQ48" s="101"/>
      <c r="BR48" s="101"/>
      <c r="BS48" s="101"/>
      <c r="BT48" s="101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102"/>
      <c r="CJ48" s="102"/>
      <c r="CK48" s="102"/>
      <c r="CL48" s="102"/>
      <c r="CM48" s="102"/>
      <c r="CN48" s="102"/>
      <c r="CO48" s="102"/>
      <c r="CP48" s="98"/>
      <c r="CQ48" s="98"/>
      <c r="CR48" s="98"/>
      <c r="CS48" s="98"/>
      <c r="CT48" s="98"/>
      <c r="CU48" s="98"/>
      <c r="CV48" s="98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</row>
    <row r="49" spans="1:115" ht="79.2" x14ac:dyDescent="0.25">
      <c r="A49" s="61"/>
      <c r="B49" s="14" t="s">
        <v>128</v>
      </c>
      <c r="C49" s="15" t="s">
        <v>129</v>
      </c>
      <c r="D49" s="24" t="s">
        <v>130</v>
      </c>
      <c r="E49" s="95"/>
      <c r="F49" s="16" t="s">
        <v>131</v>
      </c>
      <c r="G49" s="16"/>
      <c r="H49" s="17" t="s">
        <v>38</v>
      </c>
      <c r="I49" s="17">
        <v>2</v>
      </c>
      <c r="J49" s="17">
        <v>9</v>
      </c>
      <c r="K49" s="18">
        <v>46189</v>
      </c>
      <c r="L49" s="18">
        <v>46205</v>
      </c>
      <c r="M49" s="17">
        <f t="shared" si="12"/>
        <v>16</v>
      </c>
      <c r="N49" s="20">
        <v>0</v>
      </c>
      <c r="O49" s="17">
        <f t="shared" si="13"/>
        <v>72</v>
      </c>
      <c r="P49" s="17">
        <f t="shared" si="14"/>
        <v>0</v>
      </c>
      <c r="Q49" s="98"/>
      <c r="R49" s="98"/>
      <c r="S49" s="98"/>
      <c r="T49" s="98"/>
      <c r="U49" s="98"/>
      <c r="V49" s="98"/>
      <c r="W49" s="98"/>
      <c r="X49" s="99"/>
      <c r="Y49" s="99"/>
      <c r="Z49" s="99"/>
      <c r="AA49" s="99"/>
      <c r="AB49" s="99"/>
      <c r="AC49" s="99"/>
      <c r="AD49" s="99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100"/>
      <c r="AT49" s="100"/>
      <c r="AU49" s="100"/>
      <c r="AV49" s="100"/>
      <c r="AW49" s="100"/>
      <c r="AX49" s="100"/>
      <c r="AY49" s="100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101"/>
      <c r="BO49" s="101"/>
      <c r="BP49" s="101"/>
      <c r="BQ49" s="101"/>
      <c r="BR49" s="101"/>
      <c r="BS49" s="101"/>
      <c r="BT49" s="101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102"/>
      <c r="CJ49" s="102"/>
      <c r="CK49" s="102"/>
      <c r="CL49" s="102"/>
      <c r="CM49" s="102"/>
      <c r="CN49" s="102"/>
      <c r="CO49" s="102"/>
      <c r="CP49" s="98"/>
      <c r="CQ49" s="98"/>
      <c r="CR49" s="98"/>
      <c r="CS49" s="98"/>
      <c r="CT49" s="98"/>
      <c r="CU49" s="98"/>
      <c r="CV49" s="98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</row>
    <row r="50" spans="1:115" ht="158.4" x14ac:dyDescent="0.25">
      <c r="A50" s="61"/>
      <c r="B50" s="14" t="s">
        <v>132</v>
      </c>
      <c r="C50" s="15" t="s">
        <v>133</v>
      </c>
      <c r="D50" s="24" t="s">
        <v>111</v>
      </c>
      <c r="E50" s="95"/>
      <c r="F50" s="16" t="s">
        <v>81</v>
      </c>
      <c r="G50" s="16"/>
      <c r="H50" s="17" t="s">
        <v>36</v>
      </c>
      <c r="I50" s="17">
        <v>8</v>
      </c>
      <c r="J50" s="17">
        <v>5</v>
      </c>
      <c r="K50" s="18">
        <v>46189</v>
      </c>
      <c r="L50" s="18">
        <v>46198</v>
      </c>
      <c r="M50" s="17">
        <f t="shared" si="12"/>
        <v>9</v>
      </c>
      <c r="N50" s="20">
        <v>1</v>
      </c>
      <c r="O50" s="17">
        <f t="shared" si="13"/>
        <v>120</v>
      </c>
      <c r="P50" s="17">
        <f t="shared" si="14"/>
        <v>120</v>
      </c>
      <c r="Q50" s="98"/>
      <c r="R50" s="98"/>
      <c r="S50" s="98"/>
      <c r="T50" s="98"/>
      <c r="U50" s="98"/>
      <c r="V50" s="98"/>
      <c r="W50" s="98"/>
      <c r="X50" s="99"/>
      <c r="Y50" s="99"/>
      <c r="Z50" s="99"/>
      <c r="AA50" s="99"/>
      <c r="AB50" s="99"/>
      <c r="AC50" s="99"/>
      <c r="AD50" s="99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100"/>
      <c r="AT50" s="100"/>
      <c r="AU50" s="100"/>
      <c r="AV50" s="100"/>
      <c r="AW50" s="100"/>
      <c r="AX50" s="100"/>
      <c r="AY50" s="100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101"/>
      <c r="BO50" s="101"/>
      <c r="BP50" s="101"/>
      <c r="BQ50" s="101"/>
      <c r="BR50" s="101"/>
      <c r="BS50" s="101"/>
      <c r="BT50" s="101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102"/>
      <c r="CJ50" s="102"/>
      <c r="CK50" s="102"/>
      <c r="CL50" s="102"/>
      <c r="CM50" s="102"/>
      <c r="CN50" s="102"/>
      <c r="CO50" s="102"/>
      <c r="CP50" s="98"/>
      <c r="CQ50" s="98"/>
      <c r="CR50" s="98"/>
      <c r="CS50" s="98"/>
      <c r="CT50" s="98"/>
      <c r="CU50" s="98"/>
      <c r="CV50" s="98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</row>
    <row r="51" spans="1:115" ht="158.4" x14ac:dyDescent="0.25">
      <c r="A51" s="61"/>
      <c r="B51" s="14" t="s">
        <v>134</v>
      </c>
      <c r="C51" s="15" t="s">
        <v>135</v>
      </c>
      <c r="D51" s="24" t="s">
        <v>111</v>
      </c>
      <c r="E51" s="95"/>
      <c r="F51" s="16" t="s">
        <v>85</v>
      </c>
      <c r="G51" s="16"/>
      <c r="H51" s="17" t="s">
        <v>36</v>
      </c>
      <c r="I51" s="17">
        <v>8</v>
      </c>
      <c r="J51" s="17">
        <v>5</v>
      </c>
      <c r="K51" s="18">
        <v>46189</v>
      </c>
      <c r="L51" s="18">
        <v>46198</v>
      </c>
      <c r="M51" s="17">
        <f t="shared" si="12"/>
        <v>9</v>
      </c>
      <c r="N51" s="20">
        <v>1</v>
      </c>
      <c r="O51" s="17">
        <f t="shared" si="13"/>
        <v>120</v>
      </c>
      <c r="P51" s="17">
        <f t="shared" si="14"/>
        <v>120</v>
      </c>
      <c r="Q51" s="98"/>
      <c r="R51" s="98"/>
      <c r="S51" s="98"/>
      <c r="T51" s="98"/>
      <c r="U51" s="98"/>
      <c r="V51" s="98"/>
      <c r="W51" s="98"/>
      <c r="X51" s="99"/>
      <c r="Y51" s="99"/>
      <c r="Z51" s="99"/>
      <c r="AA51" s="99"/>
      <c r="AB51" s="99"/>
      <c r="AC51" s="99"/>
      <c r="AD51" s="99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100"/>
      <c r="AT51" s="100"/>
      <c r="AU51" s="100"/>
      <c r="AV51" s="100"/>
      <c r="AW51" s="100"/>
      <c r="AX51" s="100"/>
      <c r="AY51" s="100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101"/>
      <c r="BO51" s="101"/>
      <c r="BP51" s="101"/>
      <c r="BQ51" s="101"/>
      <c r="BR51" s="101"/>
      <c r="BS51" s="101"/>
      <c r="BT51" s="101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102"/>
      <c r="CJ51" s="102"/>
      <c r="CK51" s="102"/>
      <c r="CL51" s="102"/>
      <c r="CM51" s="102"/>
      <c r="CN51" s="102"/>
      <c r="CO51" s="102"/>
      <c r="CP51" s="98"/>
      <c r="CQ51" s="98"/>
      <c r="CR51" s="98"/>
      <c r="CS51" s="98"/>
      <c r="CT51" s="98"/>
      <c r="CU51" s="98"/>
      <c r="CV51" s="98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</row>
    <row r="52" spans="1:115" ht="66" x14ac:dyDescent="0.25">
      <c r="A52" s="61"/>
      <c r="B52" s="14" t="s">
        <v>136</v>
      </c>
      <c r="C52" s="15" t="s">
        <v>137</v>
      </c>
      <c r="D52" s="24" t="s">
        <v>111</v>
      </c>
      <c r="E52" s="95"/>
      <c r="F52" s="16" t="s">
        <v>138</v>
      </c>
      <c r="G52" s="16"/>
      <c r="H52" s="17" t="s">
        <v>36</v>
      </c>
      <c r="I52" s="17">
        <v>8</v>
      </c>
      <c r="J52" s="17">
        <v>5</v>
      </c>
      <c r="K52" s="18">
        <v>46189</v>
      </c>
      <c r="L52" s="18">
        <v>46202</v>
      </c>
      <c r="M52" s="17">
        <f t="shared" si="12"/>
        <v>13</v>
      </c>
      <c r="N52" s="20">
        <v>1</v>
      </c>
      <c r="O52" s="17">
        <f t="shared" si="13"/>
        <v>144.19999999999999</v>
      </c>
      <c r="P52" s="17">
        <f t="shared" si="14"/>
        <v>144.19999999999999</v>
      </c>
      <c r="Q52" s="98"/>
      <c r="R52" s="98"/>
      <c r="S52" s="98"/>
      <c r="T52" s="98"/>
      <c r="U52" s="98"/>
      <c r="V52" s="98"/>
      <c r="W52" s="98"/>
      <c r="X52" s="99"/>
      <c r="Y52" s="99"/>
      <c r="Z52" s="99"/>
      <c r="AA52" s="99"/>
      <c r="AB52" s="99"/>
      <c r="AC52" s="99"/>
      <c r="AD52" s="99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100"/>
      <c r="AT52" s="100"/>
      <c r="AU52" s="100"/>
      <c r="AV52" s="100"/>
      <c r="AW52" s="100"/>
      <c r="AX52" s="100"/>
      <c r="AY52" s="100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101"/>
      <c r="BO52" s="101"/>
      <c r="BP52" s="101"/>
      <c r="BQ52" s="101"/>
      <c r="BR52" s="101"/>
      <c r="BS52" s="101"/>
      <c r="BT52" s="101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102"/>
      <c r="CJ52" s="102"/>
      <c r="CK52" s="102"/>
      <c r="CL52" s="102"/>
      <c r="CM52" s="102"/>
      <c r="CN52" s="102"/>
      <c r="CO52" s="102"/>
      <c r="CP52" s="98"/>
      <c r="CQ52" s="98"/>
      <c r="CR52" s="98"/>
      <c r="CS52" s="98"/>
      <c r="CT52" s="98"/>
      <c r="CU52" s="98"/>
      <c r="CV52" s="98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</row>
    <row r="53" spans="1:115" ht="66" x14ac:dyDescent="0.25">
      <c r="A53" s="61"/>
      <c r="B53" s="14" t="s">
        <v>139</v>
      </c>
      <c r="C53" s="15" t="s">
        <v>140</v>
      </c>
      <c r="D53" s="24" t="s">
        <v>141</v>
      </c>
      <c r="E53" s="95"/>
      <c r="F53" s="16" t="s">
        <v>142</v>
      </c>
      <c r="G53" s="16"/>
      <c r="H53" s="17" t="s">
        <v>37</v>
      </c>
      <c r="I53" s="17">
        <v>5</v>
      </c>
      <c r="J53" s="17">
        <v>8</v>
      </c>
      <c r="K53" s="18">
        <v>46203</v>
      </c>
      <c r="L53" s="18">
        <v>46205</v>
      </c>
      <c r="M53" s="17">
        <f t="shared" si="12"/>
        <v>2</v>
      </c>
      <c r="N53" s="20">
        <v>0</v>
      </c>
      <c r="O53" s="17">
        <f t="shared" si="13"/>
        <v>56.6</v>
      </c>
      <c r="P53" s="17">
        <f t="shared" si="14"/>
        <v>0</v>
      </c>
      <c r="Q53" s="98"/>
      <c r="R53" s="98"/>
      <c r="S53" s="98"/>
      <c r="T53" s="98"/>
      <c r="U53" s="98"/>
      <c r="V53" s="98"/>
      <c r="W53" s="98"/>
      <c r="X53" s="99"/>
      <c r="Y53" s="99"/>
      <c r="Z53" s="99"/>
      <c r="AA53" s="99"/>
      <c r="AB53" s="99"/>
      <c r="AC53" s="99"/>
      <c r="AD53" s="99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100"/>
      <c r="AT53" s="100"/>
      <c r="AU53" s="100"/>
      <c r="AV53" s="100"/>
      <c r="AW53" s="100"/>
      <c r="AX53" s="100"/>
      <c r="AY53" s="100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101"/>
      <c r="BO53" s="101"/>
      <c r="BP53" s="101"/>
      <c r="BQ53" s="101"/>
      <c r="BR53" s="101"/>
      <c r="BS53" s="101"/>
      <c r="BT53" s="101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102"/>
      <c r="CJ53" s="102"/>
      <c r="CK53" s="102"/>
      <c r="CL53" s="102"/>
      <c r="CM53" s="102"/>
      <c r="CN53" s="102"/>
      <c r="CO53" s="102"/>
      <c r="CP53" s="98"/>
      <c r="CQ53" s="98"/>
      <c r="CR53" s="98"/>
      <c r="CS53" s="98"/>
      <c r="CT53" s="98"/>
      <c r="CU53" s="98"/>
      <c r="CV53" s="98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</row>
    <row r="54" spans="1:115" ht="21" customHeight="1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108"/>
      <c r="N54" s="108"/>
      <c r="O54" s="108"/>
      <c r="P54" s="108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</row>
    <row r="55" spans="1:115" ht="21" customHeight="1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108"/>
      <c r="N55" s="108"/>
      <c r="O55" s="108"/>
      <c r="P55" s="108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</row>
    <row r="56" spans="1:115" ht="21" customHeight="1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108"/>
      <c r="N56" s="108"/>
      <c r="O56" s="108"/>
      <c r="P56" s="108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</row>
    <row r="57" spans="1:115" ht="21" customHeight="1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108"/>
      <c r="N57" s="108"/>
      <c r="O57" s="108"/>
      <c r="P57" s="108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</row>
    <row r="58" spans="1:115" ht="21" customHeight="1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108"/>
      <c r="N58" s="108"/>
      <c r="O58" s="108"/>
      <c r="P58" s="108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</row>
    <row r="59" spans="1:115" ht="21" customHeight="1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108"/>
      <c r="N59" s="108"/>
      <c r="O59" s="108"/>
      <c r="P59" s="108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</row>
    <row r="60" spans="1:115" ht="21" customHeight="1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108"/>
      <c r="N60" s="108"/>
      <c r="O60" s="108"/>
      <c r="P60" s="108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</row>
    <row r="61" spans="1:115" ht="21" customHeight="1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108"/>
      <c r="N61" s="108"/>
      <c r="O61" s="108"/>
      <c r="P61" s="108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</row>
    <row r="62" spans="1:115" ht="21" customHeight="1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108"/>
      <c r="N62" s="108"/>
      <c r="O62" s="108"/>
      <c r="P62" s="108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</row>
    <row r="63" spans="1:115" ht="21" customHeigh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108"/>
      <c r="N63" s="108"/>
      <c r="O63" s="108"/>
      <c r="P63" s="108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</row>
    <row r="64" spans="1:115" ht="21" customHeight="1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108"/>
      <c r="N64" s="108"/>
      <c r="O64" s="108"/>
      <c r="P64" s="108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</row>
    <row r="65" spans="1:115" ht="21" customHeight="1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108"/>
      <c r="N65" s="108"/>
      <c r="O65" s="108"/>
      <c r="P65" s="108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</row>
    <row r="66" spans="1:115" ht="21" customHeight="1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108"/>
      <c r="N66" s="108"/>
      <c r="O66" s="108"/>
      <c r="P66" s="108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</row>
    <row r="67" spans="1:115" ht="21" customHeight="1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108"/>
      <c r="N67" s="108"/>
      <c r="O67" s="108"/>
      <c r="P67" s="108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</row>
    <row r="68" spans="1:115" ht="21" customHeight="1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108"/>
      <c r="N68" s="108"/>
      <c r="O68" s="108"/>
      <c r="P68" s="108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</row>
    <row r="69" spans="1:115" ht="21" customHeight="1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108"/>
      <c r="N69" s="108"/>
      <c r="O69" s="108"/>
      <c r="P69" s="108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</row>
    <row r="70" spans="1:115" ht="21" customHeight="1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108"/>
      <c r="N70" s="108"/>
      <c r="O70" s="108"/>
      <c r="P70" s="108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</row>
    <row r="71" spans="1:115" ht="21" customHeight="1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108"/>
      <c r="N71" s="108"/>
      <c r="O71" s="108"/>
      <c r="P71" s="108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</row>
    <row r="72" spans="1:115" ht="21" customHeight="1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108"/>
      <c r="N72" s="108"/>
      <c r="O72" s="108"/>
      <c r="P72" s="108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</row>
    <row r="73" spans="1:115" ht="21" customHeight="1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108"/>
      <c r="N73" s="108"/>
      <c r="O73" s="108"/>
      <c r="P73" s="108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</row>
    <row r="74" spans="1:115" ht="21" customHeight="1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108"/>
      <c r="N74" s="108"/>
      <c r="O74" s="108"/>
      <c r="P74" s="108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</row>
    <row r="75" spans="1:115" ht="21" customHeight="1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108"/>
      <c r="N75" s="108"/>
      <c r="O75" s="108"/>
      <c r="P75" s="108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</row>
    <row r="76" spans="1:115" ht="21" customHeight="1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108"/>
      <c r="N76" s="108"/>
      <c r="O76" s="108"/>
      <c r="P76" s="108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</row>
    <row r="77" spans="1:115" ht="21" customHeight="1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108"/>
      <c r="N77" s="108"/>
      <c r="O77" s="108"/>
      <c r="P77" s="108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</row>
    <row r="78" spans="1:115" ht="21" customHeight="1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108"/>
      <c r="N78" s="108"/>
      <c r="O78" s="108"/>
      <c r="P78" s="108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</row>
    <row r="79" spans="1:115" ht="21" customHeight="1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108"/>
      <c r="N79" s="108"/>
      <c r="O79" s="108"/>
      <c r="P79" s="108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</row>
    <row r="80" spans="1:115" ht="21" customHeight="1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108"/>
      <c r="N80" s="108"/>
      <c r="O80" s="108"/>
      <c r="P80" s="108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</row>
    <row r="81" spans="1:115" ht="21" customHeight="1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108"/>
      <c r="N81" s="108"/>
      <c r="O81" s="108"/>
      <c r="P81" s="108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</row>
    <row r="82" spans="1:115" ht="21" customHeight="1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108"/>
      <c r="N82" s="108"/>
      <c r="O82" s="108"/>
      <c r="P82" s="108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</row>
    <row r="83" spans="1:115" ht="21" customHeight="1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108"/>
      <c r="N83" s="108"/>
      <c r="O83" s="108"/>
      <c r="P83" s="108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</row>
    <row r="84" spans="1:115" ht="21" customHeight="1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108"/>
      <c r="N84" s="108"/>
      <c r="O84" s="108"/>
      <c r="P84" s="108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</row>
    <row r="85" spans="1:115" ht="21" customHeight="1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108"/>
      <c r="N85" s="108"/>
      <c r="O85" s="108"/>
      <c r="P85" s="108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</row>
    <row r="86" spans="1:115" ht="21" customHeight="1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108"/>
      <c r="N86" s="108"/>
      <c r="O86" s="108"/>
      <c r="P86" s="108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</row>
    <row r="87" spans="1:115" ht="21" customHeight="1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108"/>
      <c r="N87" s="108"/>
      <c r="O87" s="108"/>
      <c r="P87" s="108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</row>
    <row r="88" spans="1:115" ht="21" customHeight="1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108"/>
      <c r="N88" s="108"/>
      <c r="O88" s="108"/>
      <c r="P88" s="108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</row>
    <row r="89" spans="1:115" ht="21" customHeight="1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108"/>
      <c r="N89" s="108"/>
      <c r="O89" s="108"/>
      <c r="P89" s="108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</row>
    <row r="90" spans="1:115" ht="21" customHeight="1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108"/>
      <c r="N90" s="108"/>
      <c r="O90" s="108"/>
      <c r="P90" s="108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</row>
    <row r="91" spans="1:115" ht="21" customHeight="1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108"/>
      <c r="N91" s="108"/>
      <c r="O91" s="108"/>
      <c r="P91" s="108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</row>
    <row r="92" spans="1:115" ht="21" customHeight="1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108"/>
      <c r="N92" s="108"/>
      <c r="O92" s="108"/>
      <c r="P92" s="108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</row>
    <row r="93" spans="1:115" ht="21" customHeight="1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108"/>
      <c r="N93" s="108"/>
      <c r="O93" s="108"/>
      <c r="P93" s="108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</row>
    <row r="94" spans="1:115" ht="21" customHeight="1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108"/>
      <c r="N94" s="108"/>
      <c r="O94" s="108"/>
      <c r="P94" s="108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</row>
    <row r="95" spans="1:115" ht="21" customHeight="1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108"/>
      <c r="N95" s="108"/>
      <c r="O95" s="108"/>
      <c r="P95" s="108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</row>
    <row r="96" spans="1:115" ht="21" customHeight="1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108"/>
      <c r="N96" s="108"/>
      <c r="O96" s="108"/>
      <c r="P96" s="108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</row>
    <row r="97" spans="1:115" ht="21" customHeight="1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108"/>
      <c r="N97" s="108"/>
      <c r="O97" s="108"/>
      <c r="P97" s="108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</row>
    <row r="98" spans="1:115" ht="21" customHeight="1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108"/>
      <c r="N98" s="108"/>
      <c r="O98" s="108"/>
      <c r="P98" s="108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</row>
    <row r="99" spans="1:115" ht="21" customHeight="1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108"/>
      <c r="N99" s="108"/>
      <c r="O99" s="108"/>
      <c r="P99" s="108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</row>
    <row r="100" spans="1:115" ht="21" customHeight="1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108"/>
      <c r="N100" s="108"/>
      <c r="O100" s="108"/>
      <c r="P100" s="108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</row>
    <row r="101" spans="1:115" ht="21" customHeight="1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108"/>
      <c r="N101" s="108"/>
      <c r="O101" s="108"/>
      <c r="P101" s="108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</row>
    <row r="102" spans="1:115" ht="21" customHeight="1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108"/>
      <c r="N102" s="108"/>
      <c r="O102" s="108"/>
      <c r="P102" s="108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</row>
    <row r="103" spans="1:115" ht="21" customHeight="1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108"/>
      <c r="N103" s="108"/>
      <c r="O103" s="108"/>
      <c r="P103" s="108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</row>
    <row r="104" spans="1:115" ht="21" customHeight="1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108"/>
      <c r="N104" s="108"/>
      <c r="O104" s="108"/>
      <c r="P104" s="108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</row>
    <row r="105" spans="1:115" ht="21" customHeight="1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108"/>
      <c r="N105" s="108"/>
      <c r="O105" s="108"/>
      <c r="P105" s="108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</row>
    <row r="106" spans="1:115" ht="21" customHeight="1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108"/>
      <c r="N106" s="108"/>
      <c r="O106" s="108"/>
      <c r="P106" s="108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</row>
    <row r="107" spans="1:115" ht="21" customHeight="1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108"/>
      <c r="N107" s="108"/>
      <c r="O107" s="108"/>
      <c r="P107" s="108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</row>
    <row r="108" spans="1:115" ht="21" customHeight="1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108"/>
      <c r="N108" s="108"/>
      <c r="O108" s="108"/>
      <c r="P108" s="108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</row>
    <row r="109" spans="1:115" ht="21" customHeight="1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108"/>
      <c r="N109" s="108"/>
      <c r="O109" s="108"/>
      <c r="P109" s="108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</row>
    <row r="110" spans="1:115" ht="21" customHeight="1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108"/>
      <c r="N110" s="108"/>
      <c r="O110" s="108"/>
      <c r="P110" s="108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</row>
    <row r="111" spans="1:115" ht="21" customHeight="1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108"/>
      <c r="N111" s="108"/>
      <c r="O111" s="108"/>
      <c r="P111" s="108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</row>
    <row r="112" spans="1:115" ht="21" customHeight="1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108"/>
      <c r="N112" s="108"/>
      <c r="O112" s="108"/>
      <c r="P112" s="108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</row>
    <row r="113" spans="1:115" ht="21" customHeight="1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108"/>
      <c r="N113" s="108"/>
      <c r="O113" s="108"/>
      <c r="P113" s="108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</row>
    <row r="114" spans="1:115" ht="21" customHeight="1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108"/>
      <c r="N114" s="108"/>
      <c r="O114" s="108"/>
      <c r="P114" s="108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</row>
    <row r="115" spans="1:115" ht="21" customHeight="1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108"/>
      <c r="N115" s="108"/>
      <c r="O115" s="108"/>
      <c r="P115" s="108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61"/>
      <c r="CS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</row>
    <row r="116" spans="1:115" ht="21" customHeight="1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108"/>
      <c r="N116" s="108"/>
      <c r="O116" s="108"/>
      <c r="P116" s="108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</row>
    <row r="117" spans="1:115" ht="21" customHeight="1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108"/>
      <c r="N117" s="108"/>
      <c r="O117" s="108"/>
      <c r="P117" s="108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61"/>
      <c r="DK117" s="61"/>
    </row>
    <row r="118" spans="1:115" ht="21" customHeight="1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108"/>
      <c r="N118" s="108"/>
      <c r="O118" s="108"/>
      <c r="P118" s="108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</row>
    <row r="119" spans="1:115" ht="21" customHeight="1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108"/>
      <c r="N119" s="108"/>
      <c r="O119" s="108"/>
      <c r="P119" s="108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</row>
    <row r="120" spans="1:115" ht="21" customHeight="1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108"/>
      <c r="N120" s="108"/>
      <c r="O120" s="108"/>
      <c r="P120" s="108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</row>
    <row r="121" spans="1:115" ht="21" customHeight="1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108"/>
      <c r="N121" s="108"/>
      <c r="O121" s="108"/>
      <c r="P121" s="108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</row>
    <row r="122" spans="1:115" ht="21" customHeight="1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108"/>
      <c r="N122" s="108"/>
      <c r="O122" s="108"/>
      <c r="P122" s="108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61"/>
      <c r="DK122" s="61"/>
    </row>
    <row r="123" spans="1:115" ht="21" customHeight="1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108"/>
      <c r="N123" s="108"/>
      <c r="O123" s="108"/>
      <c r="P123" s="108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</row>
    <row r="124" spans="1:115" ht="21" customHeight="1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108"/>
      <c r="N124" s="108"/>
      <c r="O124" s="108"/>
      <c r="P124" s="108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</row>
    <row r="125" spans="1:115" ht="21" customHeight="1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108"/>
      <c r="N125" s="108"/>
      <c r="O125" s="108"/>
      <c r="P125" s="108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</row>
    <row r="126" spans="1:115" ht="21" customHeight="1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108"/>
      <c r="N126" s="108"/>
      <c r="O126" s="108"/>
      <c r="P126" s="108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</row>
    <row r="127" spans="1:115" ht="21" customHeight="1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108"/>
      <c r="N127" s="108"/>
      <c r="O127" s="108"/>
      <c r="P127" s="108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</row>
    <row r="128" spans="1:115" ht="21" customHeight="1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108"/>
      <c r="N128" s="108"/>
      <c r="O128" s="108"/>
      <c r="P128" s="108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</row>
    <row r="129" spans="1:115" ht="21" customHeight="1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108"/>
      <c r="N129" s="108"/>
      <c r="O129" s="108"/>
      <c r="P129" s="108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61"/>
      <c r="CO129" s="61"/>
      <c r="CP129" s="61"/>
      <c r="CQ129" s="61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</row>
    <row r="130" spans="1:115" ht="21" customHeight="1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108"/>
      <c r="N130" s="108"/>
      <c r="O130" s="108"/>
      <c r="P130" s="108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</row>
    <row r="131" spans="1:115" ht="21" customHeight="1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108"/>
      <c r="N131" s="108"/>
      <c r="O131" s="108"/>
      <c r="P131" s="108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</row>
    <row r="132" spans="1:115" ht="21" customHeight="1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108"/>
      <c r="N132" s="108"/>
      <c r="O132" s="108"/>
      <c r="P132" s="108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</row>
    <row r="133" spans="1:115" ht="21" customHeight="1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108"/>
      <c r="N133" s="108"/>
      <c r="O133" s="108"/>
      <c r="P133" s="108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</row>
    <row r="134" spans="1:115" ht="21" customHeight="1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108"/>
      <c r="N134" s="108"/>
      <c r="O134" s="108"/>
      <c r="P134" s="108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</row>
    <row r="135" spans="1:115" ht="21" customHeight="1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108"/>
      <c r="N135" s="108"/>
      <c r="O135" s="108"/>
      <c r="P135" s="108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</row>
    <row r="136" spans="1:115" ht="21" customHeight="1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108"/>
      <c r="N136" s="108"/>
      <c r="O136" s="108"/>
      <c r="P136" s="108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</row>
    <row r="137" spans="1:115" ht="21" customHeight="1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108"/>
      <c r="N137" s="108"/>
      <c r="O137" s="108"/>
      <c r="P137" s="108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</row>
    <row r="138" spans="1:115" ht="21" customHeight="1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108"/>
      <c r="N138" s="108"/>
      <c r="O138" s="108"/>
      <c r="P138" s="108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</row>
    <row r="139" spans="1:115" ht="21" customHeight="1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108"/>
      <c r="N139" s="108"/>
      <c r="O139" s="108"/>
      <c r="P139" s="108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1"/>
      <c r="CP139" s="61"/>
      <c r="CQ139" s="61"/>
      <c r="CR139" s="61"/>
      <c r="CS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61"/>
      <c r="DK139" s="61"/>
    </row>
    <row r="140" spans="1:115" ht="21" customHeight="1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108"/>
      <c r="N140" s="108"/>
      <c r="O140" s="108"/>
      <c r="P140" s="108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61"/>
      <c r="CQ140" s="61"/>
      <c r="CR140" s="61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</row>
    <row r="141" spans="1:115" ht="21" customHeight="1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108"/>
      <c r="N141" s="108"/>
      <c r="O141" s="108"/>
      <c r="P141" s="108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  <c r="CN141" s="61"/>
      <c r="CO141" s="61"/>
      <c r="CP141" s="61"/>
      <c r="CQ141" s="61"/>
      <c r="CR141" s="61"/>
      <c r="CS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  <c r="DF141" s="61"/>
      <c r="DG141" s="61"/>
      <c r="DH141" s="61"/>
      <c r="DI141" s="61"/>
      <c r="DJ141" s="61"/>
      <c r="DK141" s="61"/>
    </row>
    <row r="142" spans="1:115" ht="21" customHeight="1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108"/>
      <c r="N142" s="108"/>
      <c r="O142" s="108"/>
      <c r="P142" s="108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61"/>
      <c r="DK142" s="61"/>
    </row>
    <row r="143" spans="1:115" ht="21" customHeight="1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108"/>
      <c r="N143" s="108"/>
      <c r="O143" s="108"/>
      <c r="P143" s="108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61"/>
      <c r="DK143" s="61"/>
    </row>
    <row r="144" spans="1:115" ht="21" customHeight="1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108"/>
      <c r="N144" s="108"/>
      <c r="O144" s="108"/>
      <c r="P144" s="108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  <c r="CN144" s="61"/>
      <c r="CO144" s="61"/>
      <c r="CP144" s="61"/>
      <c r="CQ144" s="61"/>
      <c r="CR144" s="61"/>
      <c r="CS144" s="61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61"/>
      <c r="DK144" s="61"/>
    </row>
    <row r="145" spans="1:115" ht="21" customHeight="1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108"/>
      <c r="N145" s="108"/>
      <c r="O145" s="108"/>
      <c r="P145" s="108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</row>
    <row r="146" spans="1:115" ht="21" customHeight="1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108"/>
      <c r="N146" s="108"/>
      <c r="O146" s="108"/>
      <c r="P146" s="108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</row>
    <row r="147" spans="1:115" ht="21" customHeight="1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108"/>
      <c r="N147" s="108"/>
      <c r="O147" s="108"/>
      <c r="P147" s="108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</row>
    <row r="148" spans="1:115" ht="21" customHeight="1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108"/>
      <c r="N148" s="108"/>
      <c r="O148" s="108"/>
      <c r="P148" s="108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</row>
    <row r="149" spans="1:115" ht="21" customHeight="1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108"/>
      <c r="N149" s="108"/>
      <c r="O149" s="108"/>
      <c r="P149" s="108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</row>
    <row r="150" spans="1:115" ht="21" customHeight="1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108"/>
      <c r="N150" s="108"/>
      <c r="O150" s="108"/>
      <c r="P150" s="108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</row>
    <row r="151" spans="1:115" ht="21" customHeight="1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108"/>
      <c r="N151" s="108"/>
      <c r="O151" s="108"/>
      <c r="P151" s="108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</row>
    <row r="152" spans="1:115" ht="21" customHeight="1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108"/>
      <c r="N152" s="108"/>
      <c r="O152" s="108"/>
      <c r="P152" s="108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</row>
    <row r="153" spans="1:115" ht="21" customHeight="1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108"/>
      <c r="N153" s="108"/>
      <c r="O153" s="108"/>
      <c r="P153" s="108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61"/>
      <c r="CQ153" s="61"/>
      <c r="CR153" s="61"/>
      <c r="CS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</row>
    <row r="154" spans="1:115" ht="21" customHeight="1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108"/>
      <c r="N154" s="108"/>
      <c r="O154" s="108"/>
      <c r="P154" s="108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</row>
    <row r="155" spans="1:115" ht="21" customHeight="1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108"/>
      <c r="N155" s="108"/>
      <c r="O155" s="108"/>
      <c r="P155" s="108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</row>
    <row r="156" spans="1:115" ht="21" customHeight="1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108"/>
      <c r="N156" s="108"/>
      <c r="O156" s="108"/>
      <c r="P156" s="108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</row>
    <row r="157" spans="1:115" ht="21" customHeight="1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108"/>
      <c r="N157" s="108"/>
      <c r="O157" s="108"/>
      <c r="P157" s="108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</row>
    <row r="158" spans="1:115" ht="21" customHeight="1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108"/>
      <c r="N158" s="108"/>
      <c r="O158" s="108"/>
      <c r="P158" s="108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</row>
    <row r="159" spans="1:115" ht="21" customHeight="1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108"/>
      <c r="N159" s="108"/>
      <c r="O159" s="108"/>
      <c r="P159" s="108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</row>
    <row r="160" spans="1:115" ht="21" customHeight="1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108"/>
      <c r="N160" s="108"/>
      <c r="O160" s="108"/>
      <c r="P160" s="108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</row>
    <row r="161" spans="1:115" ht="21" customHeight="1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108"/>
      <c r="N161" s="108"/>
      <c r="O161" s="108"/>
      <c r="P161" s="108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</row>
    <row r="162" spans="1:115" ht="21" customHeight="1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108"/>
      <c r="N162" s="108"/>
      <c r="O162" s="108"/>
      <c r="P162" s="108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</row>
    <row r="163" spans="1:115" ht="21" customHeight="1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108"/>
      <c r="N163" s="108"/>
      <c r="O163" s="108"/>
      <c r="P163" s="108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</row>
    <row r="164" spans="1:115" ht="21" customHeight="1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108"/>
      <c r="N164" s="108"/>
      <c r="O164" s="108"/>
      <c r="P164" s="108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</row>
    <row r="165" spans="1:115" ht="21" customHeight="1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108"/>
      <c r="N165" s="108"/>
      <c r="O165" s="108"/>
      <c r="P165" s="108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</row>
    <row r="166" spans="1:115" ht="21" customHeight="1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108"/>
      <c r="N166" s="108"/>
      <c r="O166" s="108"/>
      <c r="P166" s="108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</row>
    <row r="167" spans="1:115" ht="21" customHeight="1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108"/>
      <c r="N167" s="108"/>
      <c r="O167" s="108"/>
      <c r="P167" s="108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</row>
    <row r="168" spans="1:115" ht="21" customHeight="1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108"/>
      <c r="N168" s="108"/>
      <c r="O168" s="108"/>
      <c r="P168" s="108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  <c r="CN168" s="61"/>
      <c r="CO168" s="61"/>
      <c r="CP168" s="61"/>
      <c r="CQ168" s="61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</row>
    <row r="169" spans="1:115" ht="21" customHeight="1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108"/>
      <c r="N169" s="108"/>
      <c r="O169" s="108"/>
      <c r="P169" s="108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</row>
    <row r="170" spans="1:115" ht="21" customHeight="1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108"/>
      <c r="N170" s="108"/>
      <c r="O170" s="108"/>
      <c r="P170" s="108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</row>
    <row r="171" spans="1:115" ht="21" customHeight="1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108"/>
      <c r="N171" s="108"/>
      <c r="O171" s="108"/>
      <c r="P171" s="108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</row>
    <row r="172" spans="1:115" ht="21" customHeight="1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108"/>
      <c r="N172" s="108"/>
      <c r="O172" s="108"/>
      <c r="P172" s="108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</row>
    <row r="173" spans="1:115" ht="21" customHeight="1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108"/>
      <c r="N173" s="108"/>
      <c r="O173" s="108"/>
      <c r="P173" s="108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</row>
    <row r="174" spans="1:115" ht="21" customHeight="1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108"/>
      <c r="N174" s="108"/>
      <c r="O174" s="108"/>
      <c r="P174" s="108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</row>
    <row r="175" spans="1:115" ht="21" customHeight="1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108"/>
      <c r="N175" s="108"/>
      <c r="O175" s="108"/>
      <c r="P175" s="108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</row>
    <row r="176" spans="1:115" ht="21" customHeight="1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108"/>
      <c r="N176" s="108"/>
      <c r="O176" s="108"/>
      <c r="P176" s="108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</row>
    <row r="177" spans="1:115" ht="21" customHeight="1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108"/>
      <c r="N177" s="108"/>
      <c r="O177" s="108"/>
      <c r="P177" s="108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  <c r="CN177" s="61"/>
      <c r="CO177" s="61"/>
      <c r="CP177" s="61"/>
      <c r="CQ177" s="61"/>
      <c r="CR177" s="61"/>
      <c r="CS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</row>
    <row r="178" spans="1:115" ht="21" customHeight="1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108"/>
      <c r="N178" s="108"/>
      <c r="O178" s="108"/>
      <c r="P178" s="108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</row>
    <row r="179" spans="1:115" ht="21" customHeight="1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108"/>
      <c r="N179" s="108"/>
      <c r="O179" s="108"/>
      <c r="P179" s="108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  <c r="CN179" s="61"/>
      <c r="CO179" s="61"/>
      <c r="CP179" s="61"/>
      <c r="CQ179" s="61"/>
      <c r="CR179" s="61"/>
      <c r="CS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</row>
    <row r="180" spans="1:115" ht="21" customHeight="1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108"/>
      <c r="N180" s="108"/>
      <c r="O180" s="108"/>
      <c r="P180" s="108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</row>
    <row r="181" spans="1:115" ht="21" customHeight="1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108"/>
      <c r="N181" s="108"/>
      <c r="O181" s="108"/>
      <c r="P181" s="108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  <c r="CN181" s="61"/>
      <c r="CO181" s="61"/>
      <c r="CP181" s="61"/>
      <c r="CQ181" s="61"/>
      <c r="CR181" s="61"/>
      <c r="CS181" s="61"/>
      <c r="CT181" s="61"/>
      <c r="CU181" s="61"/>
      <c r="CV181" s="61"/>
      <c r="CW181" s="61"/>
      <c r="CX181" s="61"/>
      <c r="CY181" s="61"/>
      <c r="CZ181" s="61"/>
      <c r="DA181" s="61"/>
      <c r="DB181" s="61"/>
      <c r="DC181" s="61"/>
      <c r="DD181" s="61"/>
      <c r="DE181" s="61"/>
      <c r="DF181" s="61"/>
      <c r="DG181" s="61"/>
      <c r="DH181" s="61"/>
      <c r="DI181" s="61"/>
      <c r="DJ181" s="61"/>
      <c r="DK181" s="61"/>
    </row>
    <row r="182" spans="1:115" ht="21" customHeight="1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108"/>
      <c r="N182" s="108"/>
      <c r="O182" s="108"/>
      <c r="P182" s="108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61"/>
      <c r="CQ182" s="61"/>
      <c r="CR182" s="61"/>
      <c r="CS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</row>
    <row r="183" spans="1:115" ht="21" customHeight="1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108"/>
      <c r="N183" s="108"/>
      <c r="O183" s="108"/>
      <c r="P183" s="108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  <c r="CN183" s="61"/>
      <c r="CO183" s="61"/>
      <c r="CP183" s="61"/>
      <c r="CQ183" s="61"/>
      <c r="CR183" s="61"/>
      <c r="CS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</row>
    <row r="184" spans="1:115" ht="21" customHeight="1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108"/>
      <c r="N184" s="108"/>
      <c r="O184" s="108"/>
      <c r="P184" s="108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</row>
    <row r="185" spans="1:115" ht="21" customHeight="1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108"/>
      <c r="N185" s="108"/>
      <c r="O185" s="108"/>
      <c r="P185" s="108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  <c r="CN185" s="61"/>
      <c r="CO185" s="61"/>
      <c r="CP185" s="61"/>
      <c r="CQ185" s="61"/>
      <c r="CR185" s="61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</row>
    <row r="186" spans="1:115" ht="21" customHeight="1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108"/>
      <c r="N186" s="108"/>
      <c r="O186" s="108"/>
      <c r="P186" s="108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  <c r="CN186" s="61"/>
      <c r="CO186" s="61"/>
      <c r="CP186" s="61"/>
      <c r="CQ186" s="61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</row>
    <row r="187" spans="1:115" ht="21" customHeight="1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108"/>
      <c r="N187" s="108"/>
      <c r="O187" s="108"/>
      <c r="P187" s="108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  <c r="CN187" s="61"/>
      <c r="CO187" s="61"/>
      <c r="CP187" s="61"/>
      <c r="CQ187" s="61"/>
      <c r="CR187" s="61"/>
      <c r="CS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  <c r="DF187" s="61"/>
      <c r="DG187" s="61"/>
      <c r="DH187" s="61"/>
      <c r="DI187" s="61"/>
      <c r="DJ187" s="61"/>
      <c r="DK187" s="61"/>
    </row>
    <row r="188" spans="1:115" ht="21" customHeight="1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108"/>
      <c r="N188" s="108"/>
      <c r="O188" s="108"/>
      <c r="P188" s="108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  <c r="CN188" s="61"/>
      <c r="CO188" s="61"/>
      <c r="CP188" s="61"/>
      <c r="CQ188" s="61"/>
      <c r="CR188" s="61"/>
      <c r="CS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</row>
    <row r="189" spans="1:115" ht="21" customHeight="1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108"/>
      <c r="N189" s="108"/>
      <c r="O189" s="108"/>
      <c r="P189" s="108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  <c r="CP189" s="61"/>
      <c r="CQ189" s="61"/>
      <c r="CR189" s="61"/>
      <c r="CS189" s="61"/>
      <c r="CT189" s="61"/>
      <c r="CU189" s="61"/>
      <c r="CV189" s="61"/>
      <c r="CW189" s="61"/>
      <c r="CX189" s="61"/>
      <c r="CY189" s="61"/>
      <c r="CZ189" s="61"/>
      <c r="DA189" s="61"/>
      <c r="DB189" s="61"/>
      <c r="DC189" s="61"/>
      <c r="DD189" s="61"/>
      <c r="DE189" s="61"/>
      <c r="DF189" s="61"/>
      <c r="DG189" s="61"/>
      <c r="DH189" s="61"/>
      <c r="DI189" s="61"/>
      <c r="DJ189" s="61"/>
      <c r="DK189" s="61"/>
    </row>
    <row r="190" spans="1:115" ht="21" customHeight="1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108"/>
      <c r="N190" s="108"/>
      <c r="O190" s="108"/>
      <c r="P190" s="108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  <c r="DF190" s="61"/>
      <c r="DG190" s="61"/>
      <c r="DH190" s="61"/>
      <c r="DI190" s="61"/>
      <c r="DJ190" s="61"/>
      <c r="DK190" s="61"/>
    </row>
    <row r="191" spans="1:115" ht="21" customHeight="1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108"/>
      <c r="N191" s="108"/>
      <c r="O191" s="108"/>
      <c r="P191" s="108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  <c r="CN191" s="61"/>
      <c r="CO191" s="61"/>
      <c r="CP191" s="61"/>
      <c r="CQ191" s="61"/>
      <c r="CR191" s="61"/>
      <c r="CS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</row>
    <row r="192" spans="1:115" ht="21" customHeight="1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108"/>
      <c r="N192" s="108"/>
      <c r="O192" s="108"/>
      <c r="P192" s="108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  <c r="CM192" s="61"/>
      <c r="CN192" s="61"/>
      <c r="CO192" s="61"/>
      <c r="CP192" s="61"/>
      <c r="CQ192" s="61"/>
      <c r="CR192" s="61"/>
      <c r="CS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61"/>
      <c r="DK192" s="61"/>
    </row>
    <row r="193" spans="1:115" ht="21" customHeight="1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108"/>
      <c r="N193" s="108"/>
      <c r="O193" s="108"/>
      <c r="P193" s="108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</row>
    <row r="194" spans="1:115" ht="21" customHeight="1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108"/>
      <c r="N194" s="108"/>
      <c r="O194" s="108"/>
      <c r="P194" s="108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  <c r="DF194" s="61"/>
      <c r="DG194" s="61"/>
      <c r="DH194" s="61"/>
      <c r="DI194" s="61"/>
      <c r="DJ194" s="61"/>
      <c r="DK194" s="61"/>
    </row>
    <row r="195" spans="1:115" ht="21" customHeight="1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108"/>
      <c r="N195" s="108"/>
      <c r="O195" s="108"/>
      <c r="P195" s="108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  <c r="CN195" s="61"/>
      <c r="CO195" s="61"/>
      <c r="CP195" s="61"/>
      <c r="CQ195" s="61"/>
      <c r="CR195" s="61"/>
      <c r="CS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</row>
    <row r="196" spans="1:115" ht="21" customHeight="1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108"/>
      <c r="N196" s="108"/>
      <c r="O196" s="108"/>
      <c r="P196" s="108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/>
      <c r="DJ196" s="61"/>
      <c r="DK196" s="61"/>
    </row>
    <row r="197" spans="1:115" ht="21" customHeight="1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108"/>
      <c r="N197" s="108"/>
      <c r="O197" s="108"/>
      <c r="P197" s="108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/>
      <c r="DJ197" s="61"/>
      <c r="DK197" s="61"/>
    </row>
    <row r="198" spans="1:115" ht="21" customHeight="1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108"/>
      <c r="N198" s="108"/>
      <c r="O198" s="108"/>
      <c r="P198" s="108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  <c r="CN198" s="61"/>
      <c r="CO198" s="61"/>
      <c r="CP198" s="61"/>
      <c r="CQ198" s="61"/>
      <c r="CR198" s="61"/>
      <c r="CS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  <c r="DF198" s="61"/>
      <c r="DG198" s="61"/>
      <c r="DH198" s="61"/>
      <c r="DI198" s="61"/>
      <c r="DJ198" s="61"/>
      <c r="DK198" s="61"/>
    </row>
    <row r="199" spans="1:115" ht="21" customHeight="1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108"/>
      <c r="N199" s="108"/>
      <c r="O199" s="108"/>
      <c r="P199" s="108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</row>
    <row r="200" spans="1:115" ht="21" customHeight="1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108"/>
      <c r="N200" s="108"/>
      <c r="O200" s="108"/>
      <c r="P200" s="108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/>
      <c r="DJ200" s="61"/>
      <c r="DK200" s="61"/>
    </row>
    <row r="201" spans="1:115" ht="21" customHeight="1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108"/>
      <c r="N201" s="108"/>
      <c r="O201" s="108"/>
      <c r="P201" s="108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</row>
    <row r="202" spans="1:115" ht="21" customHeight="1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108"/>
      <c r="N202" s="108"/>
      <c r="O202" s="108"/>
      <c r="P202" s="108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/>
      <c r="DJ202" s="61"/>
      <c r="DK202" s="61"/>
    </row>
    <row r="203" spans="1:115" ht="21" customHeight="1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108"/>
      <c r="N203" s="108"/>
      <c r="O203" s="108"/>
      <c r="P203" s="108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1"/>
      <c r="CG203" s="61"/>
      <c r="CH203" s="61"/>
      <c r="CI203" s="61"/>
      <c r="CJ203" s="61"/>
      <c r="CK203" s="61"/>
      <c r="CL203" s="61"/>
      <c r="CM203" s="61"/>
      <c r="CN203" s="61"/>
      <c r="CO203" s="61"/>
      <c r="CP203" s="61"/>
      <c r="CQ203" s="61"/>
      <c r="CR203" s="61"/>
      <c r="CS203" s="61"/>
      <c r="CT203" s="61"/>
      <c r="CU203" s="61"/>
      <c r="CV203" s="61"/>
      <c r="CW203" s="61"/>
      <c r="CX203" s="61"/>
      <c r="CY203" s="61"/>
      <c r="CZ203" s="61"/>
      <c r="DA203" s="61"/>
      <c r="DB203" s="61"/>
      <c r="DC203" s="61"/>
      <c r="DD203" s="61"/>
      <c r="DE203" s="61"/>
      <c r="DF203" s="61"/>
      <c r="DG203" s="61"/>
      <c r="DH203" s="61"/>
      <c r="DI203" s="61"/>
      <c r="DJ203" s="61"/>
      <c r="DK203" s="61"/>
    </row>
    <row r="204" spans="1:115" ht="21" customHeight="1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108"/>
      <c r="N204" s="108"/>
      <c r="O204" s="108"/>
      <c r="P204" s="108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  <c r="CN204" s="61"/>
      <c r="CO204" s="61"/>
      <c r="CP204" s="61"/>
      <c r="CQ204" s="61"/>
      <c r="CR204" s="61"/>
      <c r="CS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/>
      <c r="DJ204" s="61"/>
      <c r="DK204" s="61"/>
    </row>
    <row r="205" spans="1:115" ht="21" customHeight="1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108"/>
      <c r="N205" s="108"/>
      <c r="O205" s="108"/>
      <c r="P205" s="108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/>
      <c r="DJ205" s="61"/>
      <c r="DK205" s="61"/>
    </row>
    <row r="206" spans="1:115" ht="21" customHeight="1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108"/>
      <c r="N206" s="108"/>
      <c r="O206" s="108"/>
      <c r="P206" s="108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/>
      <c r="DJ206" s="61"/>
      <c r="DK206" s="61"/>
    </row>
    <row r="207" spans="1:115" ht="21" customHeight="1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108"/>
      <c r="N207" s="108"/>
      <c r="O207" s="108"/>
      <c r="P207" s="108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61"/>
      <c r="CE207" s="61"/>
      <c r="CF207" s="61"/>
      <c r="CG207" s="61"/>
      <c r="CH207" s="61"/>
      <c r="CI207" s="61"/>
      <c r="CJ207" s="61"/>
      <c r="CK207" s="61"/>
      <c r="CL207" s="61"/>
      <c r="CM207" s="61"/>
      <c r="CN207" s="61"/>
      <c r="CO207" s="61"/>
      <c r="CP207" s="61"/>
      <c r="CQ207" s="61"/>
      <c r="CR207" s="61"/>
      <c r="CS207" s="61"/>
      <c r="CT207" s="61"/>
      <c r="CU207" s="61"/>
      <c r="CV207" s="61"/>
      <c r="CW207" s="61"/>
      <c r="CX207" s="61"/>
      <c r="CY207" s="61"/>
      <c r="CZ207" s="61"/>
      <c r="DA207" s="61"/>
      <c r="DB207" s="61"/>
      <c r="DC207" s="61"/>
      <c r="DD207" s="61"/>
      <c r="DE207" s="61"/>
      <c r="DF207" s="61"/>
      <c r="DG207" s="61"/>
      <c r="DH207" s="61"/>
      <c r="DI207" s="61"/>
      <c r="DJ207" s="61"/>
      <c r="DK207" s="61"/>
    </row>
    <row r="208" spans="1:115" ht="21" customHeight="1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108"/>
      <c r="N208" s="108"/>
      <c r="O208" s="108"/>
      <c r="P208" s="108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/>
      <c r="CH208" s="61"/>
      <c r="CI208" s="61"/>
      <c r="CJ208" s="61"/>
      <c r="CK208" s="61"/>
      <c r="CL208" s="61"/>
      <c r="CM208" s="61"/>
      <c r="CN208" s="61"/>
      <c r="CO208" s="61"/>
      <c r="CP208" s="61"/>
      <c r="CQ208" s="61"/>
      <c r="CR208" s="61"/>
      <c r="CS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  <c r="DF208" s="61"/>
      <c r="DG208" s="61"/>
      <c r="DH208" s="61"/>
      <c r="DI208" s="61"/>
      <c r="DJ208" s="61"/>
      <c r="DK208" s="61"/>
    </row>
    <row r="209" spans="1:115" ht="21" customHeight="1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108"/>
      <c r="N209" s="108"/>
      <c r="O209" s="108"/>
      <c r="P209" s="108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/>
      <c r="DJ209" s="61"/>
      <c r="DK209" s="61"/>
    </row>
    <row r="210" spans="1:115" ht="21" customHeight="1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108"/>
      <c r="N210" s="108"/>
      <c r="O210" s="108"/>
      <c r="P210" s="108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  <c r="CN210" s="61"/>
      <c r="CO210" s="61"/>
      <c r="CP210" s="61"/>
      <c r="CQ210" s="61"/>
      <c r="CR210" s="61"/>
      <c r="CS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/>
      <c r="DJ210" s="61"/>
      <c r="DK210" s="61"/>
    </row>
    <row r="211" spans="1:115" ht="21" customHeight="1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108"/>
      <c r="N211" s="108"/>
      <c r="O211" s="108"/>
      <c r="P211" s="108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/>
      <c r="DJ211" s="61"/>
      <c r="DK211" s="61"/>
    </row>
    <row r="212" spans="1:115" ht="21" customHeight="1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108"/>
      <c r="N212" s="108"/>
      <c r="O212" s="108"/>
      <c r="P212" s="108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  <c r="CN212" s="61"/>
      <c r="CO212" s="61"/>
      <c r="CP212" s="61"/>
      <c r="CQ212" s="61"/>
      <c r="CR212" s="61"/>
      <c r="CS212" s="61"/>
      <c r="CT212" s="61"/>
      <c r="CU212" s="61"/>
      <c r="CV212" s="61"/>
      <c r="CW212" s="61"/>
      <c r="CX212" s="61"/>
      <c r="CY212" s="61"/>
      <c r="CZ212" s="61"/>
      <c r="DA212" s="61"/>
      <c r="DB212" s="61"/>
      <c r="DC212" s="61"/>
      <c r="DD212" s="61"/>
      <c r="DE212" s="61"/>
      <c r="DF212" s="61"/>
      <c r="DG212" s="61"/>
      <c r="DH212" s="61"/>
      <c r="DI212" s="61"/>
      <c r="DJ212" s="61"/>
      <c r="DK212" s="61"/>
    </row>
    <row r="213" spans="1:115" ht="21" customHeight="1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108"/>
      <c r="N213" s="108"/>
      <c r="O213" s="108"/>
      <c r="P213" s="108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  <c r="CP213" s="61"/>
      <c r="CQ213" s="61"/>
      <c r="CR213" s="61"/>
      <c r="CS213" s="61"/>
      <c r="CT213" s="61"/>
      <c r="CU213" s="61"/>
      <c r="CV213" s="61"/>
      <c r="CW213" s="61"/>
      <c r="CX213" s="61"/>
      <c r="CY213" s="61"/>
      <c r="CZ213" s="61"/>
      <c r="DA213" s="61"/>
      <c r="DB213" s="61"/>
      <c r="DC213" s="61"/>
      <c r="DD213" s="61"/>
      <c r="DE213" s="61"/>
      <c r="DF213" s="61"/>
      <c r="DG213" s="61"/>
      <c r="DH213" s="61"/>
      <c r="DI213" s="61"/>
      <c r="DJ213" s="61"/>
      <c r="DK213" s="61"/>
    </row>
    <row r="214" spans="1:115" ht="21" customHeight="1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108"/>
      <c r="N214" s="108"/>
      <c r="O214" s="108"/>
      <c r="P214" s="108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  <c r="CN214" s="61"/>
      <c r="CO214" s="61"/>
      <c r="CP214" s="61"/>
      <c r="CQ214" s="61"/>
      <c r="CR214" s="61"/>
      <c r="CS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  <c r="DF214" s="61"/>
      <c r="DG214" s="61"/>
      <c r="DH214" s="61"/>
      <c r="DI214" s="61"/>
      <c r="DJ214" s="61"/>
      <c r="DK214" s="61"/>
    </row>
    <row r="215" spans="1:115" ht="21" customHeight="1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108"/>
      <c r="N215" s="108"/>
      <c r="O215" s="108"/>
      <c r="P215" s="108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  <c r="CN215" s="61"/>
      <c r="CO215" s="61"/>
      <c r="CP215" s="61"/>
      <c r="CQ215" s="61"/>
      <c r="CR215" s="61"/>
      <c r="CS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  <c r="DF215" s="61"/>
      <c r="DG215" s="61"/>
      <c r="DH215" s="61"/>
      <c r="DI215" s="61"/>
      <c r="DJ215" s="61"/>
      <c r="DK215" s="61"/>
    </row>
    <row r="216" spans="1:115" ht="21" customHeight="1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108"/>
      <c r="N216" s="108"/>
      <c r="O216" s="108"/>
      <c r="P216" s="108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  <c r="CN216" s="61"/>
      <c r="CO216" s="61"/>
      <c r="CP216" s="61"/>
      <c r="CQ216" s="61"/>
      <c r="CR216" s="61"/>
      <c r="CS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  <c r="DF216" s="61"/>
      <c r="DG216" s="61"/>
      <c r="DH216" s="61"/>
      <c r="DI216" s="61"/>
      <c r="DJ216" s="61"/>
      <c r="DK216" s="61"/>
    </row>
    <row r="217" spans="1:115" ht="21" customHeight="1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108"/>
      <c r="N217" s="108"/>
      <c r="O217" s="108"/>
      <c r="P217" s="108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1"/>
      <c r="CG217" s="61"/>
      <c r="CH217" s="61"/>
      <c r="CI217" s="61"/>
      <c r="CJ217" s="61"/>
      <c r="CK217" s="61"/>
      <c r="CL217" s="61"/>
      <c r="CM217" s="61"/>
      <c r="CN217" s="61"/>
      <c r="CO217" s="61"/>
      <c r="CP217" s="61"/>
      <c r="CQ217" s="61"/>
      <c r="CR217" s="61"/>
      <c r="CS217" s="61"/>
      <c r="CT217" s="61"/>
      <c r="CU217" s="61"/>
      <c r="CV217" s="61"/>
      <c r="CW217" s="61"/>
      <c r="CX217" s="61"/>
      <c r="CY217" s="61"/>
      <c r="CZ217" s="61"/>
      <c r="DA217" s="61"/>
      <c r="DB217" s="61"/>
      <c r="DC217" s="61"/>
      <c r="DD217" s="61"/>
      <c r="DE217" s="61"/>
      <c r="DF217" s="61"/>
      <c r="DG217" s="61"/>
      <c r="DH217" s="61"/>
      <c r="DI217" s="61"/>
      <c r="DJ217" s="61"/>
      <c r="DK217" s="61"/>
    </row>
    <row r="218" spans="1:115" ht="21" customHeight="1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108"/>
      <c r="N218" s="108"/>
      <c r="O218" s="108"/>
      <c r="P218" s="108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61"/>
      <c r="DH218" s="61"/>
      <c r="DI218" s="61"/>
      <c r="DJ218" s="61"/>
      <c r="DK218" s="61"/>
    </row>
    <row r="219" spans="1:115" ht="21" customHeight="1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108"/>
      <c r="N219" s="108"/>
      <c r="O219" s="108"/>
      <c r="P219" s="108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  <c r="CN219" s="61"/>
      <c r="CO219" s="61"/>
      <c r="CP219" s="61"/>
      <c r="CQ219" s="61"/>
      <c r="CR219" s="61"/>
      <c r="CS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/>
      <c r="DJ219" s="61"/>
      <c r="DK219" s="61"/>
    </row>
    <row r="220" spans="1:115" ht="21" customHeight="1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108"/>
      <c r="N220" s="108"/>
      <c r="O220" s="108"/>
      <c r="P220" s="108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  <c r="CN220" s="61"/>
      <c r="CO220" s="61"/>
      <c r="CP220" s="61"/>
      <c r="CQ220" s="61"/>
      <c r="CR220" s="61"/>
      <c r="CS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/>
      <c r="DJ220" s="61"/>
      <c r="DK220" s="61"/>
    </row>
    <row r="221" spans="1:115" ht="21" customHeight="1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108"/>
      <c r="N221" s="108"/>
      <c r="O221" s="108"/>
      <c r="P221" s="108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  <c r="CN221" s="61"/>
      <c r="CO221" s="61"/>
      <c r="CP221" s="61"/>
      <c r="CQ221" s="61"/>
      <c r="CR221" s="61"/>
      <c r="CS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  <c r="DF221" s="61"/>
      <c r="DG221" s="61"/>
      <c r="DH221" s="61"/>
      <c r="DI221" s="61"/>
      <c r="DJ221" s="61"/>
      <c r="DK221" s="61"/>
    </row>
    <row r="222" spans="1:115" ht="21" customHeight="1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108"/>
      <c r="N222" s="108"/>
      <c r="O222" s="108"/>
      <c r="P222" s="108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  <c r="CN222" s="61"/>
      <c r="CO222" s="61"/>
      <c r="CP222" s="61"/>
      <c r="CQ222" s="61"/>
      <c r="CR222" s="61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/>
      <c r="DJ222" s="61"/>
      <c r="DK222" s="61"/>
    </row>
    <row r="223" spans="1:115" ht="21" customHeight="1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108"/>
      <c r="N223" s="108"/>
      <c r="O223" s="108"/>
      <c r="P223" s="108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  <c r="CN223" s="61"/>
      <c r="CO223" s="61"/>
      <c r="CP223" s="61"/>
      <c r="CQ223" s="61"/>
      <c r="CR223" s="61"/>
      <c r="CS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/>
      <c r="DJ223" s="61"/>
      <c r="DK223" s="61"/>
    </row>
    <row r="224" spans="1:115" ht="21" customHeight="1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108"/>
      <c r="N224" s="108"/>
      <c r="O224" s="108"/>
      <c r="P224" s="108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  <c r="CN224" s="61"/>
      <c r="CO224" s="61"/>
      <c r="CP224" s="61"/>
      <c r="CQ224" s="61"/>
      <c r="CR224" s="61"/>
      <c r="CS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/>
      <c r="DJ224" s="61"/>
      <c r="DK224" s="61"/>
    </row>
    <row r="225" spans="1:115" ht="21" customHeight="1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108"/>
      <c r="N225" s="108"/>
      <c r="O225" s="108"/>
      <c r="P225" s="108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  <c r="CN225" s="61"/>
      <c r="CO225" s="61"/>
      <c r="CP225" s="61"/>
      <c r="CQ225" s="61"/>
      <c r="CR225" s="61"/>
      <c r="CS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/>
      <c r="DJ225" s="61"/>
      <c r="DK225" s="61"/>
    </row>
    <row r="226" spans="1:115" ht="21" customHeight="1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108"/>
      <c r="N226" s="108"/>
      <c r="O226" s="108"/>
      <c r="P226" s="108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  <c r="CN226" s="61"/>
      <c r="CO226" s="61"/>
      <c r="CP226" s="61"/>
      <c r="CQ226" s="61"/>
      <c r="CR226" s="61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/>
      <c r="DJ226" s="61"/>
      <c r="DK226" s="61"/>
    </row>
    <row r="227" spans="1:115" ht="21" customHeight="1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108"/>
      <c r="N227" s="108"/>
      <c r="O227" s="108"/>
      <c r="P227" s="108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  <c r="CN227" s="61"/>
      <c r="CO227" s="61"/>
      <c r="CP227" s="61"/>
      <c r="CQ227" s="61"/>
      <c r="CR227" s="61"/>
      <c r="CS227" s="61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/>
      <c r="DJ227" s="61"/>
      <c r="DK227" s="61"/>
    </row>
    <row r="228" spans="1:115" ht="21" customHeight="1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108"/>
      <c r="N228" s="108"/>
      <c r="O228" s="108"/>
      <c r="P228" s="108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  <c r="CN228" s="61"/>
      <c r="CO228" s="61"/>
      <c r="CP228" s="61"/>
      <c r="CQ228" s="61"/>
      <c r="CR228" s="61"/>
      <c r="CS228" s="61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/>
      <c r="DJ228" s="61"/>
      <c r="DK228" s="61"/>
    </row>
    <row r="229" spans="1:115" ht="21" customHeight="1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108"/>
      <c r="N229" s="108"/>
      <c r="O229" s="108"/>
      <c r="P229" s="108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/>
      <c r="DJ229" s="61"/>
      <c r="DK229" s="61"/>
    </row>
    <row r="230" spans="1:115" ht="21" customHeight="1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108"/>
      <c r="N230" s="108"/>
      <c r="O230" s="108"/>
      <c r="P230" s="108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  <c r="CN230" s="61"/>
      <c r="CO230" s="61"/>
      <c r="CP230" s="61"/>
      <c r="CQ230" s="61"/>
      <c r="CR230" s="61"/>
      <c r="CS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/>
      <c r="DJ230" s="61"/>
      <c r="DK230" s="61"/>
    </row>
    <row r="231" spans="1:115" ht="21" customHeight="1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108"/>
      <c r="N231" s="108"/>
      <c r="O231" s="108"/>
      <c r="P231" s="108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  <c r="CN231" s="61"/>
      <c r="CO231" s="61"/>
      <c r="CP231" s="61"/>
      <c r="CQ231" s="61"/>
      <c r="CR231" s="61"/>
      <c r="CS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/>
      <c r="DJ231" s="61"/>
      <c r="DK231" s="61"/>
    </row>
    <row r="232" spans="1:115" ht="21" customHeight="1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108"/>
      <c r="N232" s="108"/>
      <c r="O232" s="108"/>
      <c r="P232" s="108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  <c r="CN232" s="61"/>
      <c r="CO232" s="61"/>
      <c r="CP232" s="61"/>
      <c r="CQ232" s="61"/>
      <c r="CR232" s="61"/>
      <c r="CS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/>
      <c r="DJ232" s="61"/>
      <c r="DK232" s="61"/>
    </row>
    <row r="233" spans="1:115" ht="21" customHeight="1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108"/>
      <c r="N233" s="108"/>
      <c r="O233" s="108"/>
      <c r="P233" s="108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  <c r="CN233" s="61"/>
      <c r="CO233" s="61"/>
      <c r="CP233" s="61"/>
      <c r="CQ233" s="61"/>
      <c r="CR233" s="61"/>
      <c r="CS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  <c r="DF233" s="61"/>
      <c r="DG233" s="61"/>
      <c r="DH233" s="61"/>
      <c r="DI233" s="61"/>
      <c r="DJ233" s="61"/>
      <c r="DK233" s="61"/>
    </row>
    <row r="234" spans="1:115" ht="21" customHeight="1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108"/>
      <c r="N234" s="108"/>
      <c r="O234" s="108"/>
      <c r="P234" s="108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  <c r="CP234" s="61"/>
      <c r="CQ234" s="61"/>
      <c r="CR234" s="61"/>
      <c r="CS234" s="61"/>
      <c r="CT234" s="61"/>
      <c r="CU234" s="61"/>
      <c r="CV234" s="61"/>
      <c r="CW234" s="61"/>
      <c r="CX234" s="61"/>
      <c r="CY234" s="61"/>
      <c r="CZ234" s="61"/>
      <c r="DA234" s="61"/>
      <c r="DB234" s="61"/>
      <c r="DC234" s="61"/>
      <c r="DD234" s="61"/>
      <c r="DE234" s="61"/>
      <c r="DF234" s="61"/>
      <c r="DG234" s="61"/>
      <c r="DH234" s="61"/>
      <c r="DI234" s="61"/>
      <c r="DJ234" s="61"/>
      <c r="DK234" s="61"/>
    </row>
    <row r="235" spans="1:115" ht="21" customHeight="1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108"/>
      <c r="N235" s="108"/>
      <c r="O235" s="108"/>
      <c r="P235" s="108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/>
      <c r="CH235" s="61"/>
      <c r="CI235" s="61"/>
      <c r="CJ235" s="61"/>
      <c r="CK235" s="61"/>
      <c r="CL235" s="61"/>
      <c r="CM235" s="61"/>
      <c r="CN235" s="61"/>
      <c r="CO235" s="61"/>
      <c r="CP235" s="61"/>
      <c r="CQ235" s="61"/>
      <c r="CR235" s="61"/>
      <c r="CS235" s="61"/>
      <c r="CT235" s="61"/>
      <c r="CU235" s="61"/>
      <c r="CV235" s="61"/>
      <c r="CW235" s="61"/>
      <c r="CX235" s="61"/>
      <c r="CY235" s="61"/>
      <c r="CZ235" s="61"/>
      <c r="DA235" s="61"/>
      <c r="DB235" s="61"/>
      <c r="DC235" s="61"/>
      <c r="DD235" s="61"/>
      <c r="DE235" s="61"/>
      <c r="DF235" s="61"/>
      <c r="DG235" s="61"/>
      <c r="DH235" s="61"/>
      <c r="DI235" s="61"/>
      <c r="DJ235" s="61"/>
      <c r="DK235" s="61"/>
    </row>
    <row r="236" spans="1:115" ht="21" customHeight="1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108"/>
      <c r="N236" s="108"/>
      <c r="O236" s="108"/>
      <c r="P236" s="108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  <c r="CN236" s="61"/>
      <c r="CO236" s="61"/>
      <c r="CP236" s="61"/>
      <c r="CQ236" s="61"/>
      <c r="CR236" s="61"/>
      <c r="CS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/>
      <c r="DJ236" s="61"/>
      <c r="DK236" s="61"/>
    </row>
    <row r="237" spans="1:115" ht="21" customHeight="1" x14ac:dyDescent="0.2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108"/>
      <c r="N237" s="108"/>
      <c r="O237" s="108"/>
      <c r="P237" s="108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  <c r="CN237" s="61"/>
      <c r="CO237" s="61"/>
      <c r="CP237" s="61"/>
      <c r="CQ237" s="61"/>
      <c r="CR237" s="61"/>
      <c r="CS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/>
      <c r="DJ237" s="61"/>
      <c r="DK237" s="61"/>
    </row>
    <row r="238" spans="1:115" ht="21" customHeight="1" x14ac:dyDescent="0.2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108"/>
      <c r="N238" s="108"/>
      <c r="O238" s="108"/>
      <c r="P238" s="108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  <c r="DF238" s="61"/>
      <c r="DG238" s="61"/>
      <c r="DH238" s="61"/>
      <c r="DI238" s="61"/>
      <c r="DJ238" s="61"/>
      <c r="DK238" s="61"/>
    </row>
    <row r="239" spans="1:115" ht="21" customHeight="1" x14ac:dyDescent="0.2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108"/>
      <c r="N239" s="108"/>
      <c r="O239" s="108"/>
      <c r="P239" s="108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  <c r="CN239" s="61"/>
      <c r="CO239" s="61"/>
      <c r="CP239" s="61"/>
      <c r="CQ239" s="61"/>
      <c r="CR239" s="61"/>
      <c r="CS239" s="61"/>
      <c r="CT239" s="61"/>
      <c r="CU239" s="61"/>
      <c r="CV239" s="61"/>
      <c r="CW239" s="61"/>
      <c r="CX239" s="61"/>
      <c r="CY239" s="61"/>
      <c r="CZ239" s="61"/>
      <c r="DA239" s="61"/>
      <c r="DB239" s="61"/>
      <c r="DC239" s="61"/>
      <c r="DD239" s="61"/>
      <c r="DE239" s="61"/>
      <c r="DF239" s="61"/>
      <c r="DG239" s="61"/>
      <c r="DH239" s="61"/>
      <c r="DI239" s="61"/>
      <c r="DJ239" s="61"/>
      <c r="DK239" s="61"/>
    </row>
    <row r="240" spans="1:115" ht="21" customHeight="1" x14ac:dyDescent="0.2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108"/>
      <c r="N240" s="108"/>
      <c r="O240" s="108"/>
      <c r="P240" s="108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  <c r="CN240" s="61"/>
      <c r="CO240" s="61"/>
      <c r="CP240" s="61"/>
      <c r="CQ240" s="61"/>
      <c r="CR240" s="61"/>
      <c r="CS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  <c r="DF240" s="61"/>
      <c r="DG240" s="61"/>
      <c r="DH240" s="61"/>
      <c r="DI240" s="61"/>
      <c r="DJ240" s="61"/>
      <c r="DK240" s="61"/>
    </row>
    <row r="241" spans="1:115" ht="21" customHeight="1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108"/>
      <c r="N241" s="108"/>
      <c r="O241" s="108"/>
      <c r="P241" s="108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  <c r="CN241" s="61"/>
      <c r="CO241" s="61"/>
      <c r="CP241" s="61"/>
      <c r="CQ241" s="61"/>
      <c r="CR241" s="61"/>
      <c r="CS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  <c r="DF241" s="61"/>
      <c r="DG241" s="61"/>
      <c r="DH241" s="61"/>
      <c r="DI241" s="61"/>
      <c r="DJ241" s="61"/>
      <c r="DK241" s="61"/>
    </row>
    <row r="242" spans="1:115" ht="21" customHeight="1" x14ac:dyDescent="0.2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108"/>
      <c r="N242" s="108"/>
      <c r="O242" s="108"/>
      <c r="P242" s="108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  <c r="CN242" s="61"/>
      <c r="CO242" s="61"/>
      <c r="CP242" s="61"/>
      <c r="CQ242" s="61"/>
      <c r="CR242" s="61"/>
      <c r="CS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/>
      <c r="DJ242" s="61"/>
      <c r="DK242" s="61"/>
    </row>
    <row r="243" spans="1:115" ht="21" customHeight="1" x14ac:dyDescent="0.2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108"/>
      <c r="N243" s="108"/>
      <c r="O243" s="108"/>
      <c r="P243" s="108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  <c r="CN243" s="61"/>
      <c r="CO243" s="61"/>
      <c r="CP243" s="61"/>
      <c r="CQ243" s="61"/>
      <c r="CR243" s="61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61"/>
      <c r="DH243" s="61"/>
      <c r="DI243" s="61"/>
      <c r="DJ243" s="61"/>
      <c r="DK243" s="61"/>
    </row>
    <row r="244" spans="1:115" ht="21" customHeight="1" x14ac:dyDescent="0.2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108"/>
      <c r="N244" s="108"/>
      <c r="O244" s="108"/>
      <c r="P244" s="108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  <c r="CN244" s="61"/>
      <c r="CO244" s="61"/>
      <c r="CP244" s="61"/>
      <c r="CQ244" s="61"/>
      <c r="CR244" s="61"/>
      <c r="CS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/>
      <c r="DJ244" s="61"/>
      <c r="DK244" s="61"/>
    </row>
    <row r="245" spans="1:115" ht="21" customHeight="1" x14ac:dyDescent="0.2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108"/>
      <c r="N245" s="108"/>
      <c r="O245" s="108"/>
      <c r="P245" s="108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  <c r="CN245" s="61"/>
      <c r="CO245" s="61"/>
      <c r="CP245" s="61"/>
      <c r="CQ245" s="61"/>
      <c r="CR245" s="61"/>
      <c r="CS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/>
      <c r="DJ245" s="61"/>
      <c r="DK245" s="61"/>
    </row>
    <row r="246" spans="1:115" ht="21" customHeight="1" x14ac:dyDescent="0.2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108"/>
      <c r="N246" s="108"/>
      <c r="O246" s="108"/>
      <c r="P246" s="108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/>
      <c r="DJ246" s="61"/>
      <c r="DK246" s="61"/>
    </row>
    <row r="247" spans="1:115" ht="21" customHeight="1" x14ac:dyDescent="0.2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108"/>
      <c r="N247" s="108"/>
      <c r="O247" s="108"/>
      <c r="P247" s="108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  <c r="DF247" s="61"/>
      <c r="DG247" s="61"/>
      <c r="DH247" s="61"/>
      <c r="DI247" s="61"/>
      <c r="DJ247" s="61"/>
      <c r="DK247" s="61"/>
    </row>
    <row r="248" spans="1:115" ht="21" customHeight="1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108"/>
      <c r="N248" s="108"/>
      <c r="O248" s="108"/>
      <c r="P248" s="108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</row>
    <row r="249" spans="1:115" ht="21" customHeight="1" x14ac:dyDescent="0.2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108"/>
      <c r="N249" s="108"/>
      <c r="O249" s="108"/>
      <c r="P249" s="108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1"/>
      <c r="CP249" s="61"/>
      <c r="CQ249" s="61"/>
      <c r="CR249" s="61"/>
      <c r="CS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  <c r="DF249" s="61"/>
      <c r="DG249" s="61"/>
      <c r="DH249" s="61"/>
      <c r="DI249" s="61"/>
      <c r="DJ249" s="61"/>
      <c r="DK249" s="61"/>
    </row>
    <row r="250" spans="1:115" ht="21" customHeight="1" x14ac:dyDescent="0.2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108"/>
      <c r="N250" s="108"/>
      <c r="O250" s="108"/>
      <c r="P250" s="108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</row>
    <row r="251" spans="1:115" ht="21" customHeight="1" x14ac:dyDescent="0.2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108"/>
      <c r="N251" s="108"/>
      <c r="O251" s="108"/>
      <c r="P251" s="108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  <c r="CN251" s="61"/>
      <c r="CO251" s="61"/>
      <c r="CP251" s="61"/>
      <c r="CQ251" s="61"/>
      <c r="CR251" s="61"/>
      <c r="CS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  <c r="DF251" s="61"/>
      <c r="DG251" s="61"/>
      <c r="DH251" s="61"/>
      <c r="DI251" s="61"/>
      <c r="DJ251" s="61"/>
      <c r="DK251" s="61"/>
    </row>
    <row r="252" spans="1:115" ht="21" customHeight="1" x14ac:dyDescent="0.2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108"/>
      <c r="N252" s="108"/>
      <c r="O252" s="108"/>
      <c r="P252" s="108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/>
      <c r="DJ252" s="61"/>
      <c r="DK252" s="61"/>
    </row>
    <row r="253" spans="1:115" ht="21" customHeight="1" x14ac:dyDescent="0.2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108"/>
      <c r="N253" s="108"/>
      <c r="O253" s="108"/>
      <c r="P253" s="108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  <c r="DF253" s="61"/>
      <c r="DG253" s="61"/>
      <c r="DH253" s="61"/>
      <c r="DI253" s="61"/>
      <c r="DJ253" s="61"/>
      <c r="DK253" s="61"/>
    </row>
    <row r="254" spans="1:115" ht="21" customHeight="1" x14ac:dyDescent="0.2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108"/>
      <c r="N254" s="108"/>
      <c r="O254" s="108"/>
      <c r="P254" s="108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  <c r="CN254" s="61"/>
      <c r="CO254" s="61"/>
      <c r="CP254" s="61"/>
      <c r="CQ254" s="61"/>
      <c r="CR254" s="61"/>
      <c r="CS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  <c r="DF254" s="61"/>
      <c r="DG254" s="61"/>
      <c r="DH254" s="61"/>
      <c r="DI254" s="61"/>
      <c r="DJ254" s="61"/>
      <c r="DK254" s="61"/>
    </row>
    <row r="255" spans="1:115" ht="21" customHeight="1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108"/>
      <c r="N255" s="108"/>
      <c r="O255" s="108"/>
      <c r="P255" s="108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  <c r="DF255" s="61"/>
      <c r="DG255" s="61"/>
      <c r="DH255" s="61"/>
      <c r="DI255" s="61"/>
      <c r="DJ255" s="61"/>
      <c r="DK255" s="61"/>
    </row>
    <row r="256" spans="1:115" ht="21" customHeight="1" x14ac:dyDescent="0.2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108"/>
      <c r="N256" s="108"/>
      <c r="O256" s="108"/>
      <c r="P256" s="108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/>
      <c r="DJ256" s="61"/>
      <c r="DK256" s="61"/>
    </row>
    <row r="257" spans="1:115" ht="21" customHeight="1" x14ac:dyDescent="0.2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108"/>
      <c r="N257" s="108"/>
      <c r="O257" s="108"/>
      <c r="P257" s="108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/>
      <c r="DJ257" s="61"/>
      <c r="DK257" s="61"/>
    </row>
    <row r="258" spans="1:115" ht="21" customHeight="1" x14ac:dyDescent="0.2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108"/>
      <c r="N258" s="108"/>
      <c r="O258" s="108"/>
      <c r="P258" s="108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/>
      <c r="DJ258" s="61"/>
      <c r="DK258" s="61"/>
    </row>
    <row r="259" spans="1:115" ht="21" customHeight="1" x14ac:dyDescent="0.2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108"/>
      <c r="N259" s="108"/>
      <c r="O259" s="108"/>
      <c r="P259" s="108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/>
      <c r="DJ259" s="61"/>
      <c r="DK259" s="61"/>
    </row>
    <row r="260" spans="1:115" ht="21" customHeight="1" x14ac:dyDescent="0.2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108"/>
      <c r="N260" s="108"/>
      <c r="O260" s="108"/>
      <c r="P260" s="108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/>
      <c r="DJ260" s="61"/>
      <c r="DK260" s="61"/>
    </row>
    <row r="261" spans="1:115" ht="21" customHeight="1" x14ac:dyDescent="0.2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108"/>
      <c r="N261" s="108"/>
      <c r="O261" s="108"/>
      <c r="P261" s="108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1"/>
      <c r="CG261" s="61"/>
      <c r="CH261" s="61"/>
      <c r="CI261" s="61"/>
      <c r="CJ261" s="61"/>
      <c r="CK261" s="61"/>
      <c r="CL261" s="61"/>
      <c r="CM261" s="61"/>
      <c r="CN261" s="61"/>
      <c r="CO261" s="61"/>
      <c r="CP261" s="61"/>
      <c r="CQ261" s="61"/>
      <c r="CR261" s="61"/>
      <c r="CS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  <c r="DF261" s="61"/>
      <c r="DG261" s="61"/>
      <c r="DH261" s="61"/>
      <c r="DI261" s="61"/>
      <c r="DJ261" s="61"/>
      <c r="DK261" s="61"/>
    </row>
    <row r="262" spans="1:115" ht="21" customHeight="1" x14ac:dyDescent="0.2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108"/>
      <c r="N262" s="108"/>
      <c r="O262" s="108"/>
      <c r="P262" s="108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  <c r="CN262" s="61"/>
      <c r="CO262" s="61"/>
      <c r="CP262" s="61"/>
      <c r="CQ262" s="61"/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  <c r="DF262" s="61"/>
      <c r="DG262" s="61"/>
      <c r="DH262" s="61"/>
      <c r="DI262" s="61"/>
      <c r="DJ262" s="61"/>
      <c r="DK262" s="61"/>
    </row>
    <row r="263" spans="1:115" ht="21" customHeight="1" x14ac:dyDescent="0.2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108"/>
      <c r="N263" s="108"/>
      <c r="O263" s="108"/>
      <c r="P263" s="108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  <c r="CN263" s="61"/>
      <c r="CO263" s="61"/>
      <c r="CP263" s="61"/>
      <c r="CQ263" s="61"/>
      <c r="CR263" s="61"/>
      <c r="CS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  <c r="DF263" s="61"/>
      <c r="DG263" s="61"/>
      <c r="DH263" s="61"/>
      <c r="DI263" s="61"/>
      <c r="DJ263" s="61"/>
      <c r="DK263" s="61"/>
    </row>
    <row r="264" spans="1:115" ht="21" customHeight="1" x14ac:dyDescent="0.2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108"/>
      <c r="N264" s="108"/>
      <c r="O264" s="108"/>
      <c r="P264" s="108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  <c r="CN264" s="61"/>
      <c r="CO264" s="61"/>
      <c r="CP264" s="61"/>
      <c r="CQ264" s="61"/>
      <c r="CR264" s="61"/>
      <c r="CS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  <c r="DF264" s="61"/>
      <c r="DG264" s="61"/>
      <c r="DH264" s="61"/>
      <c r="DI264" s="61"/>
      <c r="DJ264" s="61"/>
      <c r="DK264" s="61"/>
    </row>
    <row r="265" spans="1:115" ht="21" customHeight="1" x14ac:dyDescent="0.2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108"/>
      <c r="N265" s="108"/>
      <c r="O265" s="108"/>
      <c r="P265" s="108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1"/>
      <c r="CG265" s="61"/>
      <c r="CH265" s="61"/>
      <c r="CI265" s="61"/>
      <c r="CJ265" s="61"/>
      <c r="CK265" s="61"/>
      <c r="CL265" s="61"/>
      <c r="CM265" s="61"/>
      <c r="CN265" s="61"/>
      <c r="CO265" s="61"/>
      <c r="CP265" s="61"/>
      <c r="CQ265" s="61"/>
      <c r="CR265" s="61"/>
      <c r="CS265" s="61"/>
      <c r="CT265" s="61"/>
      <c r="CU265" s="61"/>
      <c r="CV265" s="61"/>
      <c r="CW265" s="61"/>
      <c r="CX265" s="61"/>
      <c r="CY265" s="61"/>
      <c r="CZ265" s="61"/>
      <c r="DA265" s="61"/>
      <c r="DB265" s="61"/>
      <c r="DC265" s="61"/>
      <c r="DD265" s="61"/>
      <c r="DE265" s="61"/>
      <c r="DF265" s="61"/>
      <c r="DG265" s="61"/>
      <c r="DH265" s="61"/>
      <c r="DI265" s="61"/>
      <c r="DJ265" s="61"/>
      <c r="DK265" s="61"/>
    </row>
    <row r="266" spans="1:115" ht="21" customHeight="1" x14ac:dyDescent="0.2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108"/>
      <c r="N266" s="108"/>
      <c r="O266" s="108"/>
      <c r="P266" s="108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</row>
    <row r="267" spans="1:115" ht="21" customHeight="1" x14ac:dyDescent="0.2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108"/>
      <c r="N267" s="108"/>
      <c r="O267" s="108"/>
      <c r="P267" s="108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  <c r="DF267" s="61"/>
      <c r="DG267" s="61"/>
      <c r="DH267" s="61"/>
      <c r="DI267" s="61"/>
      <c r="DJ267" s="61"/>
      <c r="DK267" s="61"/>
    </row>
    <row r="268" spans="1:115" ht="21" customHeight="1" x14ac:dyDescent="0.2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108"/>
      <c r="N268" s="108"/>
      <c r="O268" s="108"/>
      <c r="P268" s="108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  <c r="DF268" s="61"/>
      <c r="DG268" s="61"/>
      <c r="DH268" s="61"/>
      <c r="DI268" s="61"/>
      <c r="DJ268" s="61"/>
      <c r="DK268" s="61"/>
    </row>
    <row r="269" spans="1:115" ht="21" customHeight="1" x14ac:dyDescent="0.2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108"/>
      <c r="N269" s="108"/>
      <c r="O269" s="108"/>
      <c r="P269" s="108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1"/>
      <c r="CG269" s="61"/>
      <c r="CH269" s="61"/>
      <c r="CI269" s="61"/>
      <c r="CJ269" s="61"/>
      <c r="CK269" s="61"/>
      <c r="CL269" s="61"/>
      <c r="CM269" s="61"/>
      <c r="CN269" s="61"/>
      <c r="CO269" s="61"/>
      <c r="CP269" s="61"/>
      <c r="CQ269" s="61"/>
      <c r="CR269" s="61"/>
      <c r="CS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  <c r="DF269" s="61"/>
      <c r="DG269" s="61"/>
      <c r="DH269" s="61"/>
      <c r="DI269" s="61"/>
      <c r="DJ269" s="61"/>
      <c r="DK269" s="61"/>
    </row>
    <row r="270" spans="1:115" ht="21" customHeight="1" x14ac:dyDescent="0.2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108"/>
      <c r="N270" s="108"/>
      <c r="O270" s="108"/>
      <c r="P270" s="108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61"/>
      <c r="CE270" s="61"/>
      <c r="CF270" s="61"/>
      <c r="CG270" s="61"/>
      <c r="CH270" s="61"/>
      <c r="CI270" s="61"/>
      <c r="CJ270" s="61"/>
      <c r="CK270" s="61"/>
      <c r="CL270" s="61"/>
      <c r="CM270" s="61"/>
      <c r="CN270" s="61"/>
      <c r="CO270" s="61"/>
      <c r="CP270" s="61"/>
      <c r="CQ270" s="61"/>
      <c r="CR270" s="61"/>
      <c r="CS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  <c r="DF270" s="61"/>
      <c r="DG270" s="61"/>
      <c r="DH270" s="61"/>
      <c r="DI270" s="61"/>
      <c r="DJ270" s="61"/>
      <c r="DK270" s="61"/>
    </row>
    <row r="271" spans="1:115" ht="21" customHeight="1" x14ac:dyDescent="0.2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108"/>
      <c r="N271" s="108"/>
      <c r="O271" s="108"/>
      <c r="P271" s="108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  <c r="CN271" s="61"/>
      <c r="CO271" s="61"/>
      <c r="CP271" s="61"/>
      <c r="CQ271" s="61"/>
      <c r="CR271" s="61"/>
      <c r="CS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  <c r="DF271" s="61"/>
      <c r="DG271" s="61"/>
      <c r="DH271" s="61"/>
      <c r="DI271" s="61"/>
      <c r="DJ271" s="61"/>
      <c r="DK271" s="61"/>
    </row>
    <row r="272" spans="1:115" ht="21" customHeight="1" x14ac:dyDescent="0.2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108"/>
      <c r="N272" s="108"/>
      <c r="O272" s="108"/>
      <c r="P272" s="108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  <c r="CN272" s="61"/>
      <c r="CO272" s="61"/>
      <c r="CP272" s="61"/>
      <c r="CQ272" s="61"/>
      <c r="CR272" s="61"/>
      <c r="CS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  <c r="DF272" s="61"/>
      <c r="DG272" s="61"/>
      <c r="DH272" s="61"/>
      <c r="DI272" s="61"/>
      <c r="DJ272" s="61"/>
      <c r="DK272" s="61"/>
    </row>
    <row r="273" spans="1:115" ht="21" customHeight="1" x14ac:dyDescent="0.2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108"/>
      <c r="N273" s="108"/>
      <c r="O273" s="108"/>
      <c r="P273" s="108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  <c r="DF273" s="61"/>
      <c r="DG273" s="61"/>
      <c r="DH273" s="61"/>
      <c r="DI273" s="61"/>
      <c r="DJ273" s="61"/>
      <c r="DK273" s="61"/>
    </row>
    <row r="274" spans="1:115" ht="21" customHeight="1" x14ac:dyDescent="0.2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108"/>
      <c r="N274" s="108"/>
      <c r="O274" s="108"/>
      <c r="P274" s="108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  <c r="DF274" s="61"/>
      <c r="DG274" s="61"/>
      <c r="DH274" s="61"/>
      <c r="DI274" s="61"/>
      <c r="DJ274" s="61"/>
      <c r="DK274" s="61"/>
    </row>
    <row r="275" spans="1:115" ht="21" customHeight="1" x14ac:dyDescent="0.2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108"/>
      <c r="N275" s="108"/>
      <c r="O275" s="108"/>
      <c r="P275" s="108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  <c r="DF275" s="61"/>
      <c r="DG275" s="61"/>
      <c r="DH275" s="61"/>
      <c r="DI275" s="61"/>
      <c r="DJ275" s="61"/>
      <c r="DK275" s="61"/>
    </row>
    <row r="276" spans="1:115" ht="21" customHeight="1" x14ac:dyDescent="0.2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108"/>
      <c r="N276" s="108"/>
      <c r="O276" s="108"/>
      <c r="P276" s="108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  <c r="DF276" s="61"/>
      <c r="DG276" s="61"/>
      <c r="DH276" s="61"/>
      <c r="DI276" s="61"/>
      <c r="DJ276" s="61"/>
      <c r="DK276" s="61"/>
    </row>
    <row r="277" spans="1:115" ht="21" customHeight="1" x14ac:dyDescent="0.2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108"/>
      <c r="N277" s="108"/>
      <c r="O277" s="108"/>
      <c r="P277" s="108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  <c r="DF277" s="61"/>
      <c r="DG277" s="61"/>
      <c r="DH277" s="61"/>
      <c r="DI277" s="61"/>
      <c r="DJ277" s="61"/>
      <c r="DK277" s="61"/>
    </row>
    <row r="278" spans="1:115" ht="21" customHeight="1" x14ac:dyDescent="0.2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108"/>
      <c r="N278" s="108"/>
      <c r="O278" s="108"/>
      <c r="P278" s="108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61"/>
      <c r="CK278" s="61"/>
      <c r="CL278" s="61"/>
      <c r="CM278" s="61"/>
      <c r="CN278" s="61"/>
      <c r="CO278" s="61"/>
      <c r="CP278" s="61"/>
      <c r="CQ278" s="61"/>
      <c r="CR278" s="61"/>
      <c r="CS278" s="61"/>
      <c r="CT278" s="61"/>
      <c r="CU278" s="61"/>
      <c r="CV278" s="61"/>
      <c r="CW278" s="61"/>
      <c r="CX278" s="61"/>
      <c r="CY278" s="61"/>
      <c r="CZ278" s="61"/>
      <c r="DA278" s="61"/>
      <c r="DB278" s="61"/>
      <c r="DC278" s="61"/>
      <c r="DD278" s="61"/>
      <c r="DE278" s="61"/>
      <c r="DF278" s="61"/>
      <c r="DG278" s="61"/>
      <c r="DH278" s="61"/>
      <c r="DI278" s="61"/>
      <c r="DJ278" s="61"/>
      <c r="DK278" s="61"/>
    </row>
    <row r="279" spans="1:115" ht="21" customHeight="1" x14ac:dyDescent="0.2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108"/>
      <c r="N279" s="108"/>
      <c r="O279" s="108"/>
      <c r="P279" s="108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61"/>
      <c r="CK279" s="61"/>
      <c r="CL279" s="61"/>
      <c r="CM279" s="61"/>
      <c r="CN279" s="61"/>
      <c r="CO279" s="61"/>
      <c r="CP279" s="61"/>
      <c r="CQ279" s="61"/>
      <c r="CR279" s="61"/>
      <c r="CS279" s="61"/>
      <c r="CT279" s="61"/>
      <c r="CU279" s="61"/>
      <c r="CV279" s="61"/>
      <c r="CW279" s="61"/>
      <c r="CX279" s="61"/>
      <c r="CY279" s="61"/>
      <c r="CZ279" s="61"/>
      <c r="DA279" s="61"/>
      <c r="DB279" s="61"/>
      <c r="DC279" s="61"/>
      <c r="DD279" s="61"/>
      <c r="DE279" s="61"/>
      <c r="DF279" s="61"/>
      <c r="DG279" s="61"/>
      <c r="DH279" s="61"/>
      <c r="DI279" s="61"/>
      <c r="DJ279" s="61"/>
      <c r="DK279" s="61"/>
    </row>
    <row r="280" spans="1:115" ht="21" customHeight="1" x14ac:dyDescent="0.2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108"/>
      <c r="N280" s="108"/>
      <c r="O280" s="108"/>
      <c r="P280" s="108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  <c r="CP280" s="61"/>
      <c r="CQ280" s="61"/>
      <c r="CR280" s="61"/>
      <c r="CS280" s="61"/>
      <c r="CT280" s="61"/>
      <c r="CU280" s="61"/>
      <c r="CV280" s="61"/>
      <c r="CW280" s="61"/>
      <c r="CX280" s="61"/>
      <c r="CY280" s="61"/>
      <c r="CZ280" s="61"/>
      <c r="DA280" s="61"/>
      <c r="DB280" s="61"/>
      <c r="DC280" s="61"/>
      <c r="DD280" s="61"/>
      <c r="DE280" s="61"/>
      <c r="DF280" s="61"/>
      <c r="DG280" s="61"/>
      <c r="DH280" s="61"/>
      <c r="DI280" s="61"/>
      <c r="DJ280" s="61"/>
      <c r="DK280" s="61"/>
    </row>
    <row r="281" spans="1:115" ht="21" customHeight="1" x14ac:dyDescent="0.2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108"/>
      <c r="N281" s="108"/>
      <c r="O281" s="108"/>
      <c r="P281" s="108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  <c r="CN281" s="61"/>
      <c r="CO281" s="61"/>
      <c r="CP281" s="61"/>
      <c r="CQ281" s="61"/>
      <c r="CR281" s="61"/>
      <c r="CS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  <c r="DF281" s="61"/>
      <c r="DG281" s="61"/>
      <c r="DH281" s="61"/>
      <c r="DI281" s="61"/>
      <c r="DJ281" s="61"/>
      <c r="DK281" s="61"/>
    </row>
    <row r="282" spans="1:115" ht="21" customHeight="1" x14ac:dyDescent="0.2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108"/>
      <c r="N282" s="108"/>
      <c r="O282" s="108"/>
      <c r="P282" s="108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  <c r="CN282" s="61"/>
      <c r="CO282" s="61"/>
      <c r="CP282" s="61"/>
      <c r="CQ282" s="61"/>
      <c r="CR282" s="61"/>
      <c r="CS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  <c r="DF282" s="61"/>
      <c r="DG282" s="61"/>
      <c r="DH282" s="61"/>
      <c r="DI282" s="61"/>
      <c r="DJ282" s="61"/>
      <c r="DK282" s="61"/>
    </row>
    <row r="283" spans="1:115" ht="21" customHeight="1" x14ac:dyDescent="0.2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108"/>
      <c r="N283" s="108"/>
      <c r="O283" s="108"/>
      <c r="P283" s="108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  <c r="CY283" s="61"/>
      <c r="CZ283" s="61"/>
      <c r="DA283" s="61"/>
      <c r="DB283" s="61"/>
      <c r="DC283" s="61"/>
      <c r="DD283" s="61"/>
      <c r="DE283" s="61"/>
      <c r="DF283" s="61"/>
      <c r="DG283" s="61"/>
      <c r="DH283" s="61"/>
      <c r="DI283" s="61"/>
      <c r="DJ283" s="61"/>
      <c r="DK283" s="61"/>
    </row>
    <row r="284" spans="1:115" ht="21" customHeight="1" x14ac:dyDescent="0.2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108"/>
      <c r="N284" s="108"/>
      <c r="O284" s="108"/>
      <c r="P284" s="108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  <c r="CN284" s="61"/>
      <c r="CO284" s="61"/>
      <c r="CP284" s="61"/>
      <c r="CQ284" s="61"/>
      <c r="CR284" s="61"/>
      <c r="CS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  <c r="DF284" s="61"/>
      <c r="DG284" s="61"/>
      <c r="DH284" s="61"/>
      <c r="DI284" s="61"/>
      <c r="DJ284" s="61"/>
      <c r="DK284" s="61"/>
    </row>
    <row r="285" spans="1:115" ht="21" customHeight="1" x14ac:dyDescent="0.2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108"/>
      <c r="N285" s="108"/>
      <c r="O285" s="108"/>
      <c r="P285" s="108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  <c r="CN285" s="61"/>
      <c r="CO285" s="61"/>
      <c r="CP285" s="61"/>
      <c r="CQ285" s="61"/>
      <c r="CR285" s="61"/>
      <c r="CS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  <c r="DF285" s="61"/>
      <c r="DG285" s="61"/>
      <c r="DH285" s="61"/>
      <c r="DI285" s="61"/>
      <c r="DJ285" s="61"/>
      <c r="DK285" s="61"/>
    </row>
    <row r="286" spans="1:115" ht="21" customHeight="1" x14ac:dyDescent="0.2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108"/>
      <c r="N286" s="108"/>
      <c r="O286" s="108"/>
      <c r="P286" s="108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  <c r="CN286" s="61"/>
      <c r="CO286" s="61"/>
      <c r="CP286" s="61"/>
      <c r="CQ286" s="61"/>
      <c r="CR286" s="61"/>
      <c r="CS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  <c r="DF286" s="61"/>
      <c r="DG286" s="61"/>
      <c r="DH286" s="61"/>
      <c r="DI286" s="61"/>
      <c r="DJ286" s="61"/>
      <c r="DK286" s="61"/>
    </row>
    <row r="287" spans="1:115" ht="21" customHeight="1" x14ac:dyDescent="0.2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108"/>
      <c r="N287" s="108"/>
      <c r="O287" s="108"/>
      <c r="P287" s="108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  <c r="CN287" s="61"/>
      <c r="CO287" s="61"/>
      <c r="CP287" s="61"/>
      <c r="CQ287" s="61"/>
      <c r="CR287" s="61"/>
      <c r="CS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  <c r="DF287" s="61"/>
      <c r="DG287" s="61"/>
      <c r="DH287" s="61"/>
      <c r="DI287" s="61"/>
      <c r="DJ287" s="61"/>
      <c r="DK287" s="61"/>
    </row>
    <row r="288" spans="1:115" ht="21" customHeight="1" x14ac:dyDescent="0.2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108"/>
      <c r="N288" s="108"/>
      <c r="O288" s="108"/>
      <c r="P288" s="108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61"/>
      <c r="CE288" s="61"/>
      <c r="CF288" s="61"/>
      <c r="CG288" s="61"/>
      <c r="CH288" s="61"/>
      <c r="CI288" s="61"/>
      <c r="CJ288" s="61"/>
      <c r="CK288" s="61"/>
      <c r="CL288" s="61"/>
      <c r="CM288" s="61"/>
      <c r="CN288" s="61"/>
      <c r="CO288" s="61"/>
      <c r="CP288" s="61"/>
      <c r="CQ288" s="61"/>
      <c r="CR288" s="61"/>
      <c r="CS288" s="61"/>
      <c r="CT288" s="61"/>
      <c r="CU288" s="61"/>
      <c r="CV288" s="61"/>
      <c r="CW288" s="61"/>
      <c r="CX288" s="61"/>
      <c r="CY288" s="61"/>
      <c r="CZ288" s="61"/>
      <c r="DA288" s="61"/>
      <c r="DB288" s="61"/>
      <c r="DC288" s="61"/>
      <c r="DD288" s="61"/>
      <c r="DE288" s="61"/>
      <c r="DF288" s="61"/>
      <c r="DG288" s="61"/>
      <c r="DH288" s="61"/>
      <c r="DI288" s="61"/>
      <c r="DJ288" s="61"/>
      <c r="DK288" s="61"/>
    </row>
    <row r="289" spans="1:115" ht="21" customHeight="1" x14ac:dyDescent="0.2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108"/>
      <c r="N289" s="108"/>
      <c r="O289" s="108"/>
      <c r="P289" s="108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  <c r="CN289" s="61"/>
      <c r="CO289" s="61"/>
      <c r="CP289" s="61"/>
      <c r="CQ289" s="61"/>
      <c r="CR289" s="61"/>
      <c r="CS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  <c r="DF289" s="61"/>
      <c r="DG289" s="61"/>
      <c r="DH289" s="61"/>
      <c r="DI289" s="61"/>
      <c r="DJ289" s="61"/>
      <c r="DK289" s="61"/>
    </row>
    <row r="290" spans="1:115" ht="21" customHeight="1" x14ac:dyDescent="0.2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108"/>
      <c r="N290" s="108"/>
      <c r="O290" s="108"/>
      <c r="P290" s="108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  <c r="CN290" s="61"/>
      <c r="CO290" s="61"/>
      <c r="CP290" s="61"/>
      <c r="CQ290" s="61"/>
      <c r="CR290" s="61"/>
      <c r="CS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  <c r="DF290" s="61"/>
      <c r="DG290" s="61"/>
      <c r="DH290" s="61"/>
      <c r="DI290" s="61"/>
      <c r="DJ290" s="61"/>
      <c r="DK290" s="61"/>
    </row>
    <row r="291" spans="1:115" ht="21" customHeight="1" x14ac:dyDescent="0.2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108"/>
      <c r="N291" s="108"/>
      <c r="O291" s="108"/>
      <c r="P291" s="108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61"/>
      <c r="CE291" s="61"/>
      <c r="CF291" s="61"/>
      <c r="CG291" s="61"/>
      <c r="CH291" s="61"/>
      <c r="CI291" s="61"/>
      <c r="CJ291" s="61"/>
      <c r="CK291" s="61"/>
      <c r="CL291" s="61"/>
      <c r="CM291" s="61"/>
      <c r="CN291" s="61"/>
      <c r="CO291" s="61"/>
      <c r="CP291" s="61"/>
      <c r="CQ291" s="61"/>
      <c r="CR291" s="61"/>
      <c r="CS291" s="61"/>
      <c r="CT291" s="61"/>
      <c r="CU291" s="61"/>
      <c r="CV291" s="61"/>
      <c r="CW291" s="61"/>
      <c r="CX291" s="61"/>
      <c r="CY291" s="61"/>
      <c r="CZ291" s="61"/>
      <c r="DA291" s="61"/>
      <c r="DB291" s="61"/>
      <c r="DC291" s="61"/>
      <c r="DD291" s="61"/>
      <c r="DE291" s="61"/>
      <c r="DF291" s="61"/>
      <c r="DG291" s="61"/>
      <c r="DH291" s="61"/>
      <c r="DI291" s="61"/>
      <c r="DJ291" s="61"/>
      <c r="DK291" s="61"/>
    </row>
    <row r="292" spans="1:115" ht="21" customHeight="1" x14ac:dyDescent="0.2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108"/>
      <c r="N292" s="108"/>
      <c r="O292" s="108"/>
      <c r="P292" s="108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  <c r="CN292" s="61"/>
      <c r="CO292" s="61"/>
      <c r="CP292" s="61"/>
      <c r="CQ292" s="61"/>
      <c r="CR292" s="61"/>
      <c r="CS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  <c r="DF292" s="61"/>
      <c r="DG292" s="61"/>
      <c r="DH292" s="61"/>
      <c r="DI292" s="61"/>
      <c r="DJ292" s="61"/>
      <c r="DK292" s="61"/>
    </row>
    <row r="293" spans="1:115" ht="21" customHeight="1" x14ac:dyDescent="0.2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108"/>
      <c r="N293" s="108"/>
      <c r="O293" s="108"/>
      <c r="P293" s="108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  <c r="DF293" s="61"/>
      <c r="DG293" s="61"/>
      <c r="DH293" s="61"/>
      <c r="DI293" s="61"/>
      <c r="DJ293" s="61"/>
      <c r="DK293" s="61"/>
    </row>
    <row r="294" spans="1:115" ht="21" customHeight="1" x14ac:dyDescent="0.2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108"/>
      <c r="N294" s="108"/>
      <c r="O294" s="108"/>
      <c r="P294" s="108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  <c r="DF294" s="61"/>
      <c r="DG294" s="61"/>
      <c r="DH294" s="61"/>
      <c r="DI294" s="61"/>
      <c r="DJ294" s="61"/>
      <c r="DK294" s="61"/>
    </row>
    <row r="295" spans="1:115" ht="21" customHeight="1" x14ac:dyDescent="0.2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108"/>
      <c r="N295" s="108"/>
      <c r="O295" s="108"/>
      <c r="P295" s="108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  <c r="CN295" s="61"/>
      <c r="CO295" s="61"/>
      <c r="CP295" s="61"/>
      <c r="CQ295" s="61"/>
      <c r="CR295" s="61"/>
      <c r="CS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  <c r="DF295" s="61"/>
      <c r="DG295" s="61"/>
      <c r="DH295" s="61"/>
      <c r="DI295" s="61"/>
      <c r="DJ295" s="61"/>
      <c r="DK295" s="61"/>
    </row>
    <row r="296" spans="1:115" ht="21" customHeight="1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108"/>
      <c r="N296" s="108"/>
      <c r="O296" s="108"/>
      <c r="P296" s="108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  <c r="DF296" s="61"/>
      <c r="DG296" s="61"/>
      <c r="DH296" s="61"/>
      <c r="DI296" s="61"/>
      <c r="DJ296" s="61"/>
      <c r="DK296" s="61"/>
    </row>
    <row r="297" spans="1:115" ht="21" customHeight="1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108"/>
      <c r="N297" s="108"/>
      <c r="O297" s="108"/>
      <c r="P297" s="108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  <c r="CN297" s="61"/>
      <c r="CO297" s="61"/>
      <c r="CP297" s="61"/>
      <c r="CQ297" s="61"/>
      <c r="CR297" s="61"/>
      <c r="CS297" s="61"/>
      <c r="CT297" s="61"/>
      <c r="CU297" s="61"/>
      <c r="CV297" s="61"/>
      <c r="CW297" s="61"/>
      <c r="CX297" s="61"/>
      <c r="CY297" s="61"/>
      <c r="CZ297" s="61"/>
      <c r="DA297" s="61"/>
      <c r="DB297" s="61"/>
      <c r="DC297" s="61"/>
      <c r="DD297" s="61"/>
      <c r="DE297" s="61"/>
      <c r="DF297" s="61"/>
      <c r="DG297" s="61"/>
      <c r="DH297" s="61"/>
      <c r="DI297" s="61"/>
      <c r="DJ297" s="61"/>
      <c r="DK297" s="61"/>
    </row>
    <row r="298" spans="1:115" ht="21" customHeight="1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108"/>
      <c r="N298" s="108"/>
      <c r="O298" s="108"/>
      <c r="P298" s="108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  <c r="DF298" s="61"/>
      <c r="DG298" s="61"/>
      <c r="DH298" s="61"/>
      <c r="DI298" s="61"/>
      <c r="DJ298" s="61"/>
      <c r="DK298" s="61"/>
    </row>
    <row r="299" spans="1:115" ht="21" customHeight="1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108"/>
      <c r="N299" s="108"/>
      <c r="O299" s="108"/>
      <c r="P299" s="108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  <c r="DF299" s="61"/>
      <c r="DG299" s="61"/>
      <c r="DH299" s="61"/>
      <c r="DI299" s="61"/>
      <c r="DJ299" s="61"/>
      <c r="DK299" s="61"/>
    </row>
    <row r="300" spans="1:115" ht="21" customHeight="1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108"/>
      <c r="N300" s="108"/>
      <c r="O300" s="108"/>
      <c r="P300" s="108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  <c r="DF300" s="61"/>
      <c r="DG300" s="61"/>
      <c r="DH300" s="61"/>
      <c r="DI300" s="61"/>
      <c r="DJ300" s="61"/>
      <c r="DK300" s="61"/>
    </row>
    <row r="301" spans="1:115" ht="21" customHeight="1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108"/>
      <c r="N301" s="108"/>
      <c r="O301" s="108"/>
      <c r="P301" s="108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  <c r="DF301" s="61"/>
      <c r="DG301" s="61"/>
      <c r="DH301" s="61"/>
      <c r="DI301" s="61"/>
      <c r="DJ301" s="61"/>
      <c r="DK301" s="61"/>
    </row>
    <row r="302" spans="1:115" ht="21" customHeight="1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108"/>
      <c r="N302" s="108"/>
      <c r="O302" s="108"/>
      <c r="P302" s="108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  <c r="DF302" s="61"/>
      <c r="DG302" s="61"/>
      <c r="DH302" s="61"/>
      <c r="DI302" s="61"/>
      <c r="DJ302" s="61"/>
      <c r="DK302" s="61"/>
    </row>
    <row r="303" spans="1:115" ht="21" customHeight="1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108"/>
      <c r="N303" s="108"/>
      <c r="O303" s="108"/>
      <c r="P303" s="108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</row>
    <row r="304" spans="1:115" ht="21" customHeight="1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108"/>
      <c r="N304" s="108"/>
      <c r="O304" s="108"/>
      <c r="P304" s="108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  <c r="DF304" s="61"/>
      <c r="DG304" s="61"/>
      <c r="DH304" s="61"/>
      <c r="DI304" s="61"/>
      <c r="DJ304" s="61"/>
      <c r="DK304" s="61"/>
    </row>
    <row r="305" spans="1:115" ht="21" customHeight="1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108"/>
      <c r="N305" s="108"/>
      <c r="O305" s="108"/>
      <c r="P305" s="108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  <c r="DF305" s="61"/>
      <c r="DG305" s="61"/>
      <c r="DH305" s="61"/>
      <c r="DI305" s="61"/>
      <c r="DJ305" s="61"/>
      <c r="DK305" s="61"/>
    </row>
    <row r="306" spans="1:115" ht="21" customHeight="1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108"/>
      <c r="N306" s="108"/>
      <c r="O306" s="108"/>
      <c r="P306" s="108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  <c r="DF306" s="61"/>
      <c r="DG306" s="61"/>
      <c r="DH306" s="61"/>
      <c r="DI306" s="61"/>
      <c r="DJ306" s="61"/>
      <c r="DK306" s="61"/>
    </row>
    <row r="307" spans="1:115" ht="21" customHeight="1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108"/>
      <c r="N307" s="108"/>
      <c r="O307" s="108"/>
      <c r="P307" s="108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  <c r="DF307" s="61"/>
      <c r="DG307" s="61"/>
      <c r="DH307" s="61"/>
      <c r="DI307" s="61"/>
      <c r="DJ307" s="61"/>
      <c r="DK307" s="61"/>
    </row>
    <row r="308" spans="1:115" ht="21" customHeight="1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108"/>
      <c r="N308" s="108"/>
      <c r="O308" s="108"/>
      <c r="P308" s="108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  <c r="CN308" s="61"/>
      <c r="CO308" s="61"/>
      <c r="CP308" s="61"/>
      <c r="CQ308" s="61"/>
      <c r="CR308" s="61"/>
      <c r="CS308" s="61"/>
      <c r="CT308" s="61"/>
      <c r="CU308" s="61"/>
      <c r="CV308" s="61"/>
      <c r="CW308" s="61"/>
      <c r="CX308" s="61"/>
      <c r="CY308" s="61"/>
      <c r="CZ308" s="61"/>
      <c r="DA308" s="61"/>
      <c r="DB308" s="61"/>
      <c r="DC308" s="61"/>
      <c r="DD308" s="61"/>
      <c r="DE308" s="61"/>
      <c r="DF308" s="61"/>
      <c r="DG308" s="61"/>
      <c r="DH308" s="61"/>
      <c r="DI308" s="61"/>
      <c r="DJ308" s="61"/>
      <c r="DK308" s="61"/>
    </row>
    <row r="309" spans="1:115" ht="21" customHeight="1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108"/>
      <c r="N309" s="108"/>
      <c r="O309" s="108"/>
      <c r="P309" s="108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1"/>
      <c r="CL309" s="61"/>
      <c r="CM309" s="61"/>
      <c r="CN309" s="61"/>
      <c r="CO309" s="61"/>
      <c r="CP309" s="61"/>
      <c r="CQ309" s="61"/>
      <c r="CR309" s="61"/>
      <c r="CS309" s="61"/>
      <c r="CT309" s="61"/>
      <c r="CU309" s="61"/>
      <c r="CV309" s="61"/>
      <c r="CW309" s="61"/>
      <c r="CX309" s="61"/>
      <c r="CY309" s="61"/>
      <c r="CZ309" s="61"/>
      <c r="DA309" s="61"/>
      <c r="DB309" s="61"/>
      <c r="DC309" s="61"/>
      <c r="DD309" s="61"/>
      <c r="DE309" s="61"/>
      <c r="DF309" s="61"/>
      <c r="DG309" s="61"/>
      <c r="DH309" s="61"/>
      <c r="DI309" s="61"/>
      <c r="DJ309" s="61"/>
      <c r="DK309" s="61"/>
    </row>
    <row r="310" spans="1:115" ht="21" customHeight="1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108"/>
      <c r="N310" s="108"/>
      <c r="O310" s="108"/>
      <c r="P310" s="108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  <c r="CN310" s="61"/>
      <c r="CO310" s="61"/>
      <c r="CP310" s="61"/>
      <c r="CQ310" s="61"/>
      <c r="CR310" s="61"/>
      <c r="CS310" s="61"/>
      <c r="CT310" s="61"/>
      <c r="CU310" s="61"/>
      <c r="CV310" s="61"/>
      <c r="CW310" s="61"/>
      <c r="CX310" s="61"/>
      <c r="CY310" s="61"/>
      <c r="CZ310" s="61"/>
      <c r="DA310" s="61"/>
      <c r="DB310" s="61"/>
      <c r="DC310" s="61"/>
      <c r="DD310" s="61"/>
      <c r="DE310" s="61"/>
      <c r="DF310" s="61"/>
      <c r="DG310" s="61"/>
      <c r="DH310" s="61"/>
      <c r="DI310" s="61"/>
      <c r="DJ310" s="61"/>
      <c r="DK310" s="61"/>
    </row>
    <row r="311" spans="1:115" ht="21" customHeight="1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108"/>
      <c r="N311" s="108"/>
      <c r="O311" s="108"/>
      <c r="P311" s="108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/>
      <c r="CY311" s="61"/>
      <c r="CZ311" s="61"/>
      <c r="DA311" s="61"/>
      <c r="DB311" s="61"/>
      <c r="DC311" s="61"/>
      <c r="DD311" s="61"/>
      <c r="DE311" s="61"/>
      <c r="DF311" s="61"/>
      <c r="DG311" s="61"/>
      <c r="DH311" s="61"/>
      <c r="DI311" s="61"/>
      <c r="DJ311" s="61"/>
      <c r="DK311" s="61"/>
    </row>
    <row r="312" spans="1:115" ht="21" customHeight="1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108"/>
      <c r="N312" s="108"/>
      <c r="O312" s="108"/>
      <c r="P312" s="108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1"/>
      <c r="CL312" s="61"/>
      <c r="CM312" s="61"/>
      <c r="CN312" s="61"/>
      <c r="CO312" s="61"/>
      <c r="CP312" s="61"/>
      <c r="CQ312" s="61"/>
      <c r="CR312" s="61"/>
      <c r="CS312" s="61"/>
      <c r="CT312" s="61"/>
      <c r="CU312" s="61"/>
      <c r="CV312" s="61"/>
      <c r="CW312" s="61"/>
      <c r="CX312" s="61"/>
      <c r="CY312" s="61"/>
      <c r="CZ312" s="61"/>
      <c r="DA312" s="61"/>
      <c r="DB312" s="61"/>
      <c r="DC312" s="61"/>
      <c r="DD312" s="61"/>
      <c r="DE312" s="61"/>
      <c r="DF312" s="61"/>
      <c r="DG312" s="61"/>
      <c r="DH312" s="61"/>
      <c r="DI312" s="61"/>
      <c r="DJ312" s="61"/>
      <c r="DK312" s="61"/>
    </row>
    <row r="313" spans="1:115" ht="21" customHeight="1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108"/>
      <c r="N313" s="108"/>
      <c r="O313" s="108"/>
      <c r="P313" s="108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  <c r="CN313" s="61"/>
      <c r="CO313" s="61"/>
      <c r="CP313" s="61"/>
      <c r="CQ313" s="61"/>
      <c r="CR313" s="61"/>
      <c r="CS313" s="61"/>
      <c r="CT313" s="61"/>
      <c r="CU313" s="61"/>
      <c r="CV313" s="61"/>
      <c r="CW313" s="61"/>
      <c r="CX313" s="61"/>
      <c r="CY313" s="61"/>
      <c r="CZ313" s="61"/>
      <c r="DA313" s="61"/>
      <c r="DB313" s="61"/>
      <c r="DC313" s="61"/>
      <c r="DD313" s="61"/>
      <c r="DE313" s="61"/>
      <c r="DF313" s="61"/>
      <c r="DG313" s="61"/>
      <c r="DH313" s="61"/>
      <c r="DI313" s="61"/>
      <c r="DJ313" s="61"/>
      <c r="DK313" s="61"/>
    </row>
    <row r="314" spans="1:115" ht="21" customHeight="1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108"/>
      <c r="N314" s="108"/>
      <c r="O314" s="108"/>
      <c r="P314" s="108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  <c r="CN314" s="61"/>
      <c r="CO314" s="61"/>
      <c r="CP314" s="61"/>
      <c r="CQ314" s="61"/>
      <c r="CR314" s="61"/>
      <c r="CS314" s="61"/>
      <c r="CT314" s="61"/>
      <c r="CU314" s="61"/>
      <c r="CV314" s="61"/>
      <c r="CW314" s="61"/>
      <c r="CX314" s="61"/>
      <c r="CY314" s="61"/>
      <c r="CZ314" s="61"/>
      <c r="DA314" s="61"/>
      <c r="DB314" s="61"/>
      <c r="DC314" s="61"/>
      <c r="DD314" s="61"/>
      <c r="DE314" s="61"/>
      <c r="DF314" s="61"/>
      <c r="DG314" s="61"/>
      <c r="DH314" s="61"/>
      <c r="DI314" s="61"/>
      <c r="DJ314" s="61"/>
      <c r="DK314" s="61"/>
    </row>
    <row r="315" spans="1:115" ht="21" customHeight="1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108"/>
      <c r="N315" s="108"/>
      <c r="O315" s="108"/>
      <c r="P315" s="108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  <c r="CN315" s="61"/>
      <c r="CO315" s="61"/>
      <c r="CP315" s="61"/>
      <c r="CQ315" s="61"/>
      <c r="CR315" s="61"/>
      <c r="CS315" s="61"/>
      <c r="CT315" s="61"/>
      <c r="CU315" s="61"/>
      <c r="CV315" s="61"/>
      <c r="CW315" s="61"/>
      <c r="CX315" s="61"/>
      <c r="CY315" s="61"/>
      <c r="CZ315" s="61"/>
      <c r="DA315" s="61"/>
      <c r="DB315" s="61"/>
      <c r="DC315" s="61"/>
      <c r="DD315" s="61"/>
      <c r="DE315" s="61"/>
      <c r="DF315" s="61"/>
      <c r="DG315" s="61"/>
      <c r="DH315" s="61"/>
      <c r="DI315" s="61"/>
      <c r="DJ315" s="61"/>
      <c r="DK315" s="61"/>
    </row>
    <row r="316" spans="1:115" ht="21" customHeight="1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108"/>
      <c r="N316" s="108"/>
      <c r="O316" s="108"/>
      <c r="P316" s="108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  <c r="CN316" s="61"/>
      <c r="CO316" s="61"/>
      <c r="CP316" s="61"/>
      <c r="CQ316" s="61"/>
      <c r="CR316" s="61"/>
      <c r="CS316" s="61"/>
      <c r="CT316" s="61"/>
      <c r="CU316" s="61"/>
      <c r="CV316" s="61"/>
      <c r="CW316" s="61"/>
      <c r="CX316" s="61"/>
      <c r="CY316" s="61"/>
      <c r="CZ316" s="61"/>
      <c r="DA316" s="61"/>
      <c r="DB316" s="61"/>
      <c r="DC316" s="61"/>
      <c r="DD316" s="61"/>
      <c r="DE316" s="61"/>
      <c r="DF316" s="61"/>
      <c r="DG316" s="61"/>
      <c r="DH316" s="61"/>
      <c r="DI316" s="61"/>
      <c r="DJ316" s="61"/>
      <c r="DK316" s="61"/>
    </row>
    <row r="317" spans="1:115" ht="21" customHeight="1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108"/>
      <c r="N317" s="108"/>
      <c r="O317" s="108"/>
      <c r="P317" s="108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  <c r="CN317" s="61"/>
      <c r="CO317" s="61"/>
      <c r="CP317" s="61"/>
      <c r="CQ317" s="61"/>
      <c r="CR317" s="61"/>
      <c r="CS317" s="61"/>
      <c r="CT317" s="61"/>
      <c r="CU317" s="61"/>
      <c r="CV317" s="61"/>
      <c r="CW317" s="61"/>
      <c r="CX317" s="61"/>
      <c r="CY317" s="61"/>
      <c r="CZ317" s="61"/>
      <c r="DA317" s="61"/>
      <c r="DB317" s="61"/>
      <c r="DC317" s="61"/>
      <c r="DD317" s="61"/>
      <c r="DE317" s="61"/>
      <c r="DF317" s="61"/>
      <c r="DG317" s="61"/>
      <c r="DH317" s="61"/>
      <c r="DI317" s="61"/>
      <c r="DJ317" s="61"/>
      <c r="DK317" s="61"/>
    </row>
    <row r="318" spans="1:115" ht="21" customHeight="1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108"/>
      <c r="N318" s="108"/>
      <c r="O318" s="108"/>
      <c r="P318" s="108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  <c r="CN318" s="61"/>
      <c r="CO318" s="61"/>
      <c r="CP318" s="61"/>
      <c r="CQ318" s="61"/>
      <c r="CR318" s="61"/>
      <c r="CS318" s="61"/>
      <c r="CT318" s="61"/>
      <c r="CU318" s="61"/>
      <c r="CV318" s="61"/>
      <c r="CW318" s="61"/>
      <c r="CX318" s="61"/>
      <c r="CY318" s="61"/>
      <c r="CZ318" s="61"/>
      <c r="DA318" s="61"/>
      <c r="DB318" s="61"/>
      <c r="DC318" s="61"/>
      <c r="DD318" s="61"/>
      <c r="DE318" s="61"/>
      <c r="DF318" s="61"/>
      <c r="DG318" s="61"/>
      <c r="DH318" s="61"/>
      <c r="DI318" s="61"/>
      <c r="DJ318" s="61"/>
      <c r="DK318" s="61"/>
    </row>
    <row r="319" spans="1:115" ht="21" customHeight="1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108"/>
      <c r="N319" s="108"/>
      <c r="O319" s="108"/>
      <c r="P319" s="108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1"/>
      <c r="CL319" s="61"/>
      <c r="CM319" s="61"/>
      <c r="CN319" s="61"/>
      <c r="CO319" s="61"/>
      <c r="CP319" s="61"/>
      <c r="CQ319" s="61"/>
      <c r="CR319" s="61"/>
      <c r="CS319" s="61"/>
      <c r="CT319" s="61"/>
      <c r="CU319" s="61"/>
      <c r="CV319" s="61"/>
      <c r="CW319" s="61"/>
      <c r="CX319" s="61"/>
      <c r="CY319" s="61"/>
      <c r="CZ319" s="61"/>
      <c r="DA319" s="61"/>
      <c r="DB319" s="61"/>
      <c r="DC319" s="61"/>
      <c r="DD319" s="61"/>
      <c r="DE319" s="61"/>
      <c r="DF319" s="61"/>
      <c r="DG319" s="61"/>
      <c r="DH319" s="61"/>
      <c r="DI319" s="61"/>
      <c r="DJ319" s="61"/>
      <c r="DK319" s="61"/>
    </row>
    <row r="320" spans="1:115" ht="21" customHeight="1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108"/>
      <c r="N320" s="108"/>
      <c r="O320" s="108"/>
      <c r="P320" s="108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  <c r="CN320" s="61"/>
      <c r="CO320" s="61"/>
      <c r="CP320" s="61"/>
      <c r="CQ320" s="61"/>
      <c r="CR320" s="61"/>
      <c r="CS320" s="61"/>
      <c r="CT320" s="61"/>
      <c r="CU320" s="61"/>
      <c r="CV320" s="61"/>
      <c r="CW320" s="61"/>
      <c r="CX320" s="61"/>
      <c r="CY320" s="61"/>
      <c r="CZ320" s="61"/>
      <c r="DA320" s="61"/>
      <c r="DB320" s="61"/>
      <c r="DC320" s="61"/>
      <c r="DD320" s="61"/>
      <c r="DE320" s="61"/>
      <c r="DF320" s="61"/>
      <c r="DG320" s="61"/>
      <c r="DH320" s="61"/>
      <c r="DI320" s="61"/>
      <c r="DJ320" s="61"/>
      <c r="DK320" s="61"/>
    </row>
    <row r="321" spans="1:115" ht="21" customHeight="1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108"/>
      <c r="N321" s="108"/>
      <c r="O321" s="108"/>
      <c r="P321" s="108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  <c r="CN321" s="61"/>
      <c r="CO321" s="61"/>
      <c r="CP321" s="61"/>
      <c r="CQ321" s="61"/>
      <c r="CR321" s="61"/>
      <c r="CS321" s="61"/>
      <c r="CT321" s="61"/>
      <c r="CU321" s="61"/>
      <c r="CV321" s="61"/>
      <c r="CW321" s="61"/>
      <c r="CX321" s="61"/>
      <c r="CY321" s="61"/>
      <c r="CZ321" s="61"/>
      <c r="DA321" s="61"/>
      <c r="DB321" s="61"/>
      <c r="DC321" s="61"/>
      <c r="DD321" s="61"/>
      <c r="DE321" s="61"/>
      <c r="DF321" s="61"/>
      <c r="DG321" s="61"/>
      <c r="DH321" s="61"/>
      <c r="DI321" s="61"/>
      <c r="DJ321" s="61"/>
      <c r="DK321" s="61"/>
    </row>
    <row r="322" spans="1:115" ht="21" customHeight="1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108"/>
      <c r="N322" s="108"/>
      <c r="O322" s="108"/>
      <c r="P322" s="108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  <c r="CN322" s="61"/>
      <c r="CO322" s="61"/>
      <c r="CP322" s="61"/>
      <c r="CQ322" s="61"/>
      <c r="CR322" s="61"/>
      <c r="CS322" s="61"/>
      <c r="CT322" s="61"/>
      <c r="CU322" s="61"/>
      <c r="CV322" s="61"/>
      <c r="CW322" s="61"/>
      <c r="CX322" s="61"/>
      <c r="CY322" s="61"/>
      <c r="CZ322" s="61"/>
      <c r="DA322" s="61"/>
      <c r="DB322" s="61"/>
      <c r="DC322" s="61"/>
      <c r="DD322" s="61"/>
      <c r="DE322" s="61"/>
      <c r="DF322" s="61"/>
      <c r="DG322" s="61"/>
      <c r="DH322" s="61"/>
      <c r="DI322" s="61"/>
      <c r="DJ322" s="61"/>
      <c r="DK322" s="61"/>
    </row>
    <row r="323" spans="1:115" ht="21" customHeight="1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108"/>
      <c r="N323" s="108"/>
      <c r="O323" s="108"/>
      <c r="P323" s="108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1"/>
      <c r="CL323" s="61"/>
      <c r="CM323" s="61"/>
      <c r="CN323" s="61"/>
      <c r="CO323" s="61"/>
      <c r="CP323" s="61"/>
      <c r="CQ323" s="61"/>
      <c r="CR323" s="61"/>
      <c r="CS323" s="61"/>
      <c r="CT323" s="61"/>
      <c r="CU323" s="61"/>
      <c r="CV323" s="61"/>
      <c r="CW323" s="61"/>
      <c r="CX323" s="61"/>
      <c r="CY323" s="61"/>
      <c r="CZ323" s="61"/>
      <c r="DA323" s="61"/>
      <c r="DB323" s="61"/>
      <c r="DC323" s="61"/>
      <c r="DD323" s="61"/>
      <c r="DE323" s="61"/>
      <c r="DF323" s="61"/>
      <c r="DG323" s="61"/>
      <c r="DH323" s="61"/>
      <c r="DI323" s="61"/>
      <c r="DJ323" s="61"/>
      <c r="DK323" s="61"/>
    </row>
    <row r="324" spans="1:115" ht="21" customHeight="1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108"/>
      <c r="N324" s="108"/>
      <c r="O324" s="108"/>
      <c r="P324" s="108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  <c r="CN324" s="61"/>
      <c r="CO324" s="61"/>
      <c r="CP324" s="61"/>
      <c r="CQ324" s="61"/>
      <c r="CR324" s="61"/>
      <c r="CS324" s="61"/>
      <c r="CT324" s="61"/>
      <c r="CU324" s="61"/>
      <c r="CV324" s="61"/>
      <c r="CW324" s="61"/>
      <c r="CX324" s="61"/>
      <c r="CY324" s="61"/>
      <c r="CZ324" s="61"/>
      <c r="DA324" s="61"/>
      <c r="DB324" s="61"/>
      <c r="DC324" s="61"/>
      <c r="DD324" s="61"/>
      <c r="DE324" s="61"/>
      <c r="DF324" s="61"/>
      <c r="DG324" s="61"/>
      <c r="DH324" s="61"/>
      <c r="DI324" s="61"/>
      <c r="DJ324" s="61"/>
      <c r="DK324" s="61"/>
    </row>
    <row r="325" spans="1:115" ht="21" customHeight="1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108"/>
      <c r="N325" s="108"/>
      <c r="O325" s="108"/>
      <c r="P325" s="108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  <c r="CN325" s="61"/>
      <c r="CO325" s="61"/>
      <c r="CP325" s="61"/>
      <c r="CQ325" s="61"/>
      <c r="CR325" s="61"/>
      <c r="CS325" s="61"/>
      <c r="CT325" s="61"/>
      <c r="CU325" s="61"/>
      <c r="CV325" s="61"/>
      <c r="CW325" s="61"/>
      <c r="CX325" s="61"/>
      <c r="CY325" s="61"/>
      <c r="CZ325" s="61"/>
      <c r="DA325" s="61"/>
      <c r="DB325" s="61"/>
      <c r="DC325" s="61"/>
      <c r="DD325" s="61"/>
      <c r="DE325" s="61"/>
      <c r="DF325" s="61"/>
      <c r="DG325" s="61"/>
      <c r="DH325" s="61"/>
      <c r="DI325" s="61"/>
      <c r="DJ325" s="61"/>
      <c r="DK325" s="61"/>
    </row>
    <row r="326" spans="1:115" ht="21" customHeight="1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108"/>
      <c r="N326" s="108"/>
      <c r="O326" s="108"/>
      <c r="P326" s="108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  <c r="CN326" s="61"/>
      <c r="CO326" s="61"/>
      <c r="CP326" s="61"/>
      <c r="CQ326" s="61"/>
      <c r="CR326" s="61"/>
      <c r="CS326" s="61"/>
      <c r="CT326" s="61"/>
      <c r="CU326" s="61"/>
      <c r="CV326" s="61"/>
      <c r="CW326" s="61"/>
      <c r="CX326" s="61"/>
      <c r="CY326" s="61"/>
      <c r="CZ326" s="61"/>
      <c r="DA326" s="61"/>
      <c r="DB326" s="61"/>
      <c r="DC326" s="61"/>
      <c r="DD326" s="61"/>
      <c r="DE326" s="61"/>
      <c r="DF326" s="61"/>
      <c r="DG326" s="61"/>
      <c r="DH326" s="61"/>
      <c r="DI326" s="61"/>
      <c r="DJ326" s="61"/>
      <c r="DK326" s="61"/>
    </row>
    <row r="327" spans="1:115" ht="21" customHeight="1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108"/>
      <c r="N327" s="108"/>
      <c r="O327" s="108"/>
      <c r="P327" s="108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  <c r="CN327" s="61"/>
      <c r="CO327" s="61"/>
      <c r="CP327" s="61"/>
      <c r="CQ327" s="61"/>
      <c r="CR327" s="61"/>
      <c r="CS327" s="61"/>
      <c r="CT327" s="61"/>
      <c r="CU327" s="61"/>
      <c r="CV327" s="61"/>
      <c r="CW327" s="61"/>
      <c r="CX327" s="61"/>
      <c r="CY327" s="61"/>
      <c r="CZ327" s="61"/>
      <c r="DA327" s="61"/>
      <c r="DB327" s="61"/>
      <c r="DC327" s="61"/>
      <c r="DD327" s="61"/>
      <c r="DE327" s="61"/>
      <c r="DF327" s="61"/>
      <c r="DG327" s="61"/>
      <c r="DH327" s="61"/>
      <c r="DI327" s="61"/>
      <c r="DJ327" s="61"/>
      <c r="DK327" s="61"/>
    </row>
    <row r="328" spans="1:115" ht="21" customHeight="1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108"/>
      <c r="N328" s="108"/>
      <c r="O328" s="108"/>
      <c r="P328" s="108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  <c r="CN328" s="61"/>
      <c r="CO328" s="61"/>
      <c r="CP328" s="61"/>
      <c r="CQ328" s="61"/>
      <c r="CR328" s="61"/>
      <c r="CS328" s="61"/>
      <c r="CT328" s="61"/>
      <c r="CU328" s="61"/>
      <c r="CV328" s="61"/>
      <c r="CW328" s="61"/>
      <c r="CX328" s="61"/>
      <c r="CY328" s="61"/>
      <c r="CZ328" s="61"/>
      <c r="DA328" s="61"/>
      <c r="DB328" s="61"/>
      <c r="DC328" s="61"/>
      <c r="DD328" s="61"/>
      <c r="DE328" s="61"/>
      <c r="DF328" s="61"/>
      <c r="DG328" s="61"/>
      <c r="DH328" s="61"/>
      <c r="DI328" s="61"/>
      <c r="DJ328" s="61"/>
      <c r="DK328" s="61"/>
    </row>
    <row r="329" spans="1:115" ht="21" customHeight="1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108"/>
      <c r="N329" s="108"/>
      <c r="O329" s="108"/>
      <c r="P329" s="108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  <c r="CY329" s="61"/>
      <c r="CZ329" s="61"/>
      <c r="DA329" s="61"/>
      <c r="DB329" s="61"/>
      <c r="DC329" s="61"/>
      <c r="DD329" s="61"/>
      <c r="DE329" s="61"/>
      <c r="DF329" s="61"/>
      <c r="DG329" s="61"/>
      <c r="DH329" s="61"/>
      <c r="DI329" s="61"/>
      <c r="DJ329" s="61"/>
      <c r="DK329" s="61"/>
    </row>
    <row r="330" spans="1:115" ht="21" customHeight="1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108"/>
      <c r="N330" s="108"/>
      <c r="O330" s="108"/>
      <c r="P330" s="108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  <c r="CN330" s="61"/>
      <c r="CO330" s="61"/>
      <c r="CP330" s="61"/>
      <c r="CQ330" s="61"/>
      <c r="CR330" s="61"/>
      <c r="CS330" s="61"/>
      <c r="CT330" s="61"/>
      <c r="CU330" s="61"/>
      <c r="CV330" s="61"/>
      <c r="CW330" s="61"/>
      <c r="CX330" s="61"/>
      <c r="CY330" s="61"/>
      <c r="CZ330" s="61"/>
      <c r="DA330" s="61"/>
      <c r="DB330" s="61"/>
      <c r="DC330" s="61"/>
      <c r="DD330" s="61"/>
      <c r="DE330" s="61"/>
      <c r="DF330" s="61"/>
      <c r="DG330" s="61"/>
      <c r="DH330" s="61"/>
      <c r="DI330" s="61"/>
      <c r="DJ330" s="61"/>
      <c r="DK330" s="61"/>
    </row>
    <row r="331" spans="1:115" ht="21" customHeight="1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108"/>
      <c r="N331" s="108"/>
      <c r="O331" s="108"/>
      <c r="P331" s="108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  <c r="CN331" s="61"/>
      <c r="CO331" s="61"/>
      <c r="CP331" s="61"/>
      <c r="CQ331" s="61"/>
      <c r="CR331" s="61"/>
      <c r="CS331" s="61"/>
      <c r="CT331" s="61"/>
      <c r="CU331" s="61"/>
      <c r="CV331" s="61"/>
      <c r="CW331" s="61"/>
      <c r="CX331" s="61"/>
      <c r="CY331" s="61"/>
      <c r="CZ331" s="61"/>
      <c r="DA331" s="61"/>
      <c r="DB331" s="61"/>
      <c r="DC331" s="61"/>
      <c r="DD331" s="61"/>
      <c r="DE331" s="61"/>
      <c r="DF331" s="61"/>
      <c r="DG331" s="61"/>
      <c r="DH331" s="61"/>
      <c r="DI331" s="61"/>
      <c r="DJ331" s="61"/>
      <c r="DK331" s="61"/>
    </row>
    <row r="332" spans="1:115" ht="21" customHeight="1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108"/>
      <c r="N332" s="108"/>
      <c r="O332" s="108"/>
      <c r="P332" s="108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1"/>
      <c r="CL332" s="61"/>
      <c r="CM332" s="61"/>
      <c r="CN332" s="61"/>
      <c r="CO332" s="61"/>
      <c r="CP332" s="61"/>
      <c r="CQ332" s="61"/>
      <c r="CR332" s="61"/>
      <c r="CS332" s="61"/>
      <c r="CT332" s="61"/>
      <c r="CU332" s="61"/>
      <c r="CV332" s="61"/>
      <c r="CW332" s="61"/>
      <c r="CX332" s="61"/>
      <c r="CY332" s="61"/>
      <c r="CZ332" s="61"/>
      <c r="DA332" s="61"/>
      <c r="DB332" s="61"/>
      <c r="DC332" s="61"/>
      <c r="DD332" s="61"/>
      <c r="DE332" s="61"/>
      <c r="DF332" s="61"/>
      <c r="DG332" s="61"/>
      <c r="DH332" s="61"/>
      <c r="DI332" s="61"/>
      <c r="DJ332" s="61"/>
      <c r="DK332" s="61"/>
    </row>
    <row r="333" spans="1:115" ht="21" customHeight="1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108"/>
      <c r="N333" s="108"/>
      <c r="O333" s="108"/>
      <c r="P333" s="108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  <c r="CN333" s="61"/>
      <c r="CO333" s="61"/>
      <c r="CP333" s="61"/>
      <c r="CQ333" s="61"/>
      <c r="CR333" s="61"/>
      <c r="CS333" s="61"/>
      <c r="CT333" s="61"/>
      <c r="CU333" s="61"/>
      <c r="CV333" s="61"/>
      <c r="CW333" s="61"/>
      <c r="CX333" s="61"/>
      <c r="CY333" s="61"/>
      <c r="CZ333" s="61"/>
      <c r="DA333" s="61"/>
      <c r="DB333" s="61"/>
      <c r="DC333" s="61"/>
      <c r="DD333" s="61"/>
      <c r="DE333" s="61"/>
      <c r="DF333" s="61"/>
      <c r="DG333" s="61"/>
      <c r="DH333" s="61"/>
      <c r="DI333" s="61"/>
      <c r="DJ333" s="61"/>
      <c r="DK333" s="61"/>
    </row>
    <row r="334" spans="1:115" ht="21" customHeight="1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108"/>
      <c r="N334" s="108"/>
      <c r="O334" s="108"/>
      <c r="P334" s="108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  <c r="CN334" s="61"/>
      <c r="CO334" s="61"/>
      <c r="CP334" s="61"/>
      <c r="CQ334" s="61"/>
      <c r="CR334" s="61"/>
      <c r="CS334" s="61"/>
      <c r="CT334" s="61"/>
      <c r="CU334" s="61"/>
      <c r="CV334" s="61"/>
      <c r="CW334" s="61"/>
      <c r="CX334" s="61"/>
      <c r="CY334" s="61"/>
      <c r="CZ334" s="61"/>
      <c r="DA334" s="61"/>
      <c r="DB334" s="61"/>
      <c r="DC334" s="61"/>
      <c r="DD334" s="61"/>
      <c r="DE334" s="61"/>
      <c r="DF334" s="61"/>
      <c r="DG334" s="61"/>
      <c r="DH334" s="61"/>
      <c r="DI334" s="61"/>
      <c r="DJ334" s="61"/>
      <c r="DK334" s="61"/>
    </row>
    <row r="335" spans="1:115" ht="21" customHeight="1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108"/>
      <c r="N335" s="108"/>
      <c r="O335" s="108"/>
      <c r="P335" s="108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  <c r="CN335" s="61"/>
      <c r="CO335" s="61"/>
      <c r="CP335" s="61"/>
      <c r="CQ335" s="61"/>
      <c r="CR335" s="61"/>
      <c r="CS335" s="61"/>
      <c r="CT335" s="61"/>
      <c r="CU335" s="61"/>
      <c r="CV335" s="61"/>
      <c r="CW335" s="61"/>
      <c r="CX335" s="61"/>
      <c r="CY335" s="61"/>
      <c r="CZ335" s="61"/>
      <c r="DA335" s="61"/>
      <c r="DB335" s="61"/>
      <c r="DC335" s="61"/>
      <c r="DD335" s="61"/>
      <c r="DE335" s="61"/>
      <c r="DF335" s="61"/>
      <c r="DG335" s="61"/>
      <c r="DH335" s="61"/>
      <c r="DI335" s="61"/>
      <c r="DJ335" s="61"/>
      <c r="DK335" s="61"/>
    </row>
    <row r="336" spans="1:115" ht="21" customHeight="1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108"/>
      <c r="N336" s="108"/>
      <c r="O336" s="108"/>
      <c r="P336" s="108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  <c r="DE336" s="61"/>
      <c r="DF336" s="61"/>
      <c r="DG336" s="61"/>
      <c r="DH336" s="61"/>
      <c r="DI336" s="61"/>
      <c r="DJ336" s="61"/>
      <c r="DK336" s="61"/>
    </row>
    <row r="337" spans="1:115" ht="21" customHeight="1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108"/>
      <c r="N337" s="108"/>
      <c r="O337" s="108"/>
      <c r="P337" s="108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  <c r="CN337" s="61"/>
      <c r="CO337" s="61"/>
      <c r="CP337" s="61"/>
      <c r="CQ337" s="61"/>
      <c r="CR337" s="61"/>
      <c r="CS337" s="61"/>
      <c r="CT337" s="61"/>
      <c r="CU337" s="61"/>
      <c r="CV337" s="61"/>
      <c r="CW337" s="61"/>
      <c r="CX337" s="61"/>
      <c r="CY337" s="61"/>
      <c r="CZ337" s="61"/>
      <c r="DA337" s="61"/>
      <c r="DB337" s="61"/>
      <c r="DC337" s="61"/>
      <c r="DD337" s="61"/>
      <c r="DE337" s="61"/>
      <c r="DF337" s="61"/>
      <c r="DG337" s="61"/>
      <c r="DH337" s="61"/>
      <c r="DI337" s="61"/>
      <c r="DJ337" s="61"/>
      <c r="DK337" s="61"/>
    </row>
    <row r="338" spans="1:115" ht="21" customHeight="1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108"/>
      <c r="N338" s="108"/>
      <c r="O338" s="108"/>
      <c r="P338" s="108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  <c r="CN338" s="61"/>
      <c r="CO338" s="61"/>
      <c r="CP338" s="61"/>
      <c r="CQ338" s="61"/>
      <c r="CR338" s="61"/>
      <c r="CS338" s="61"/>
      <c r="CT338" s="61"/>
      <c r="CU338" s="61"/>
      <c r="CV338" s="61"/>
      <c r="CW338" s="61"/>
      <c r="CX338" s="61"/>
      <c r="CY338" s="61"/>
      <c r="CZ338" s="61"/>
      <c r="DA338" s="61"/>
      <c r="DB338" s="61"/>
      <c r="DC338" s="61"/>
      <c r="DD338" s="61"/>
      <c r="DE338" s="61"/>
      <c r="DF338" s="61"/>
      <c r="DG338" s="61"/>
      <c r="DH338" s="61"/>
      <c r="DI338" s="61"/>
      <c r="DJ338" s="61"/>
      <c r="DK338" s="61"/>
    </row>
    <row r="339" spans="1:115" ht="21" customHeight="1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108"/>
      <c r="N339" s="108"/>
      <c r="O339" s="108"/>
      <c r="P339" s="108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1"/>
      <c r="CL339" s="61"/>
      <c r="CM339" s="61"/>
      <c r="CN339" s="61"/>
      <c r="CO339" s="61"/>
      <c r="CP339" s="61"/>
      <c r="CQ339" s="61"/>
      <c r="CR339" s="61"/>
      <c r="CS339" s="61"/>
      <c r="CT339" s="61"/>
      <c r="CU339" s="61"/>
      <c r="CV339" s="61"/>
      <c r="CW339" s="61"/>
      <c r="CX339" s="61"/>
      <c r="CY339" s="61"/>
      <c r="CZ339" s="61"/>
      <c r="DA339" s="61"/>
      <c r="DB339" s="61"/>
      <c r="DC339" s="61"/>
      <c r="DD339" s="61"/>
      <c r="DE339" s="61"/>
      <c r="DF339" s="61"/>
      <c r="DG339" s="61"/>
      <c r="DH339" s="61"/>
      <c r="DI339" s="61"/>
      <c r="DJ339" s="61"/>
      <c r="DK339" s="61"/>
    </row>
    <row r="340" spans="1:115" ht="21" customHeight="1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108"/>
      <c r="N340" s="108"/>
      <c r="O340" s="108"/>
      <c r="P340" s="108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  <c r="CN340" s="61"/>
      <c r="CO340" s="61"/>
      <c r="CP340" s="61"/>
      <c r="CQ340" s="61"/>
      <c r="CR340" s="61"/>
      <c r="CS340" s="61"/>
      <c r="CT340" s="61"/>
      <c r="CU340" s="61"/>
      <c r="CV340" s="61"/>
      <c r="CW340" s="61"/>
      <c r="CX340" s="61"/>
      <c r="CY340" s="61"/>
      <c r="CZ340" s="61"/>
      <c r="DA340" s="61"/>
      <c r="DB340" s="61"/>
      <c r="DC340" s="61"/>
      <c r="DD340" s="61"/>
      <c r="DE340" s="61"/>
      <c r="DF340" s="61"/>
      <c r="DG340" s="61"/>
      <c r="DH340" s="61"/>
      <c r="DI340" s="61"/>
      <c r="DJ340" s="61"/>
      <c r="DK340" s="61"/>
    </row>
    <row r="341" spans="1:115" ht="21" customHeight="1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108"/>
      <c r="N341" s="108"/>
      <c r="O341" s="108"/>
      <c r="P341" s="108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  <c r="CN341" s="61"/>
      <c r="CO341" s="61"/>
      <c r="CP341" s="61"/>
      <c r="CQ341" s="61"/>
      <c r="CR341" s="61"/>
      <c r="CS341" s="61"/>
      <c r="CT341" s="61"/>
      <c r="CU341" s="61"/>
      <c r="CV341" s="61"/>
      <c r="CW341" s="61"/>
      <c r="CX341" s="61"/>
      <c r="CY341" s="61"/>
      <c r="CZ341" s="61"/>
      <c r="DA341" s="61"/>
      <c r="DB341" s="61"/>
      <c r="DC341" s="61"/>
      <c r="DD341" s="61"/>
      <c r="DE341" s="61"/>
      <c r="DF341" s="61"/>
      <c r="DG341" s="61"/>
      <c r="DH341" s="61"/>
      <c r="DI341" s="61"/>
      <c r="DJ341" s="61"/>
      <c r="DK341" s="61"/>
    </row>
    <row r="342" spans="1:115" ht="21" customHeight="1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108"/>
      <c r="N342" s="108"/>
      <c r="O342" s="108"/>
      <c r="P342" s="108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1"/>
      <c r="CL342" s="61"/>
      <c r="CM342" s="61"/>
      <c r="CN342" s="61"/>
      <c r="CO342" s="61"/>
      <c r="CP342" s="61"/>
      <c r="CQ342" s="61"/>
      <c r="CR342" s="61"/>
      <c r="CS342" s="61"/>
      <c r="CT342" s="61"/>
      <c r="CU342" s="61"/>
      <c r="CV342" s="61"/>
      <c r="CW342" s="61"/>
      <c r="CX342" s="61"/>
      <c r="CY342" s="61"/>
      <c r="CZ342" s="61"/>
      <c r="DA342" s="61"/>
      <c r="DB342" s="61"/>
      <c r="DC342" s="61"/>
      <c r="DD342" s="61"/>
      <c r="DE342" s="61"/>
      <c r="DF342" s="61"/>
      <c r="DG342" s="61"/>
      <c r="DH342" s="61"/>
      <c r="DI342" s="61"/>
      <c r="DJ342" s="61"/>
      <c r="DK342" s="61"/>
    </row>
    <row r="343" spans="1:115" ht="21" customHeight="1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108"/>
      <c r="N343" s="108"/>
      <c r="O343" s="108"/>
      <c r="P343" s="108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  <c r="CY343" s="61"/>
      <c r="CZ343" s="61"/>
      <c r="DA343" s="61"/>
      <c r="DB343" s="61"/>
      <c r="DC343" s="61"/>
      <c r="DD343" s="61"/>
      <c r="DE343" s="61"/>
      <c r="DF343" s="61"/>
      <c r="DG343" s="61"/>
      <c r="DH343" s="61"/>
      <c r="DI343" s="61"/>
      <c r="DJ343" s="61"/>
      <c r="DK343" s="61"/>
    </row>
    <row r="344" spans="1:115" ht="21" customHeight="1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108"/>
      <c r="N344" s="108"/>
      <c r="O344" s="108"/>
      <c r="P344" s="108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  <c r="CN344" s="61"/>
      <c r="CO344" s="61"/>
      <c r="CP344" s="61"/>
      <c r="CQ344" s="61"/>
      <c r="CR344" s="61"/>
      <c r="CS344" s="61"/>
      <c r="CT344" s="61"/>
      <c r="CU344" s="61"/>
      <c r="CV344" s="61"/>
      <c r="CW344" s="61"/>
      <c r="CX344" s="61"/>
      <c r="CY344" s="61"/>
      <c r="CZ344" s="61"/>
      <c r="DA344" s="61"/>
      <c r="DB344" s="61"/>
      <c r="DC344" s="61"/>
      <c r="DD344" s="61"/>
      <c r="DE344" s="61"/>
      <c r="DF344" s="61"/>
      <c r="DG344" s="61"/>
      <c r="DH344" s="61"/>
      <c r="DI344" s="61"/>
      <c r="DJ344" s="61"/>
      <c r="DK344" s="61"/>
    </row>
    <row r="345" spans="1:115" ht="21" customHeight="1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108"/>
      <c r="N345" s="108"/>
      <c r="O345" s="108"/>
      <c r="P345" s="108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  <c r="CN345" s="61"/>
      <c r="CO345" s="61"/>
      <c r="CP345" s="61"/>
      <c r="CQ345" s="61"/>
      <c r="CR345" s="61"/>
      <c r="CS345" s="61"/>
      <c r="CT345" s="61"/>
      <c r="CU345" s="61"/>
      <c r="CV345" s="61"/>
      <c r="CW345" s="61"/>
      <c r="CX345" s="61"/>
      <c r="CY345" s="61"/>
      <c r="CZ345" s="61"/>
      <c r="DA345" s="61"/>
      <c r="DB345" s="61"/>
      <c r="DC345" s="61"/>
      <c r="DD345" s="61"/>
      <c r="DE345" s="61"/>
      <c r="DF345" s="61"/>
      <c r="DG345" s="61"/>
      <c r="DH345" s="61"/>
      <c r="DI345" s="61"/>
      <c r="DJ345" s="61"/>
      <c r="DK345" s="61"/>
    </row>
    <row r="346" spans="1:115" ht="21" customHeight="1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108"/>
      <c r="N346" s="108"/>
      <c r="O346" s="108"/>
      <c r="P346" s="108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  <c r="DE346" s="61"/>
      <c r="DF346" s="61"/>
      <c r="DG346" s="61"/>
      <c r="DH346" s="61"/>
      <c r="DI346" s="61"/>
      <c r="DJ346" s="61"/>
      <c r="DK346" s="61"/>
    </row>
    <row r="347" spans="1:115" ht="21" customHeight="1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108"/>
      <c r="N347" s="108"/>
      <c r="O347" s="108"/>
      <c r="P347" s="108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  <c r="CN347" s="61"/>
      <c r="CO347" s="61"/>
      <c r="CP347" s="61"/>
      <c r="CQ347" s="61"/>
      <c r="CR347" s="61"/>
      <c r="CS347" s="61"/>
      <c r="CT347" s="61"/>
      <c r="CU347" s="61"/>
      <c r="CV347" s="61"/>
      <c r="CW347" s="61"/>
      <c r="CX347" s="61"/>
      <c r="CY347" s="61"/>
      <c r="CZ347" s="61"/>
      <c r="DA347" s="61"/>
      <c r="DB347" s="61"/>
      <c r="DC347" s="61"/>
      <c r="DD347" s="61"/>
      <c r="DE347" s="61"/>
      <c r="DF347" s="61"/>
      <c r="DG347" s="61"/>
      <c r="DH347" s="61"/>
      <c r="DI347" s="61"/>
      <c r="DJ347" s="61"/>
      <c r="DK347" s="61"/>
    </row>
    <row r="348" spans="1:115" ht="21" customHeight="1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108"/>
      <c r="N348" s="108"/>
      <c r="O348" s="108"/>
      <c r="P348" s="108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1"/>
      <c r="CL348" s="61"/>
      <c r="CM348" s="61"/>
      <c r="CN348" s="61"/>
      <c r="CO348" s="61"/>
      <c r="CP348" s="61"/>
      <c r="CQ348" s="61"/>
      <c r="CR348" s="61"/>
      <c r="CS348" s="61"/>
      <c r="CT348" s="61"/>
      <c r="CU348" s="61"/>
      <c r="CV348" s="61"/>
      <c r="CW348" s="61"/>
      <c r="CX348" s="61"/>
      <c r="CY348" s="61"/>
      <c r="CZ348" s="61"/>
      <c r="DA348" s="61"/>
      <c r="DB348" s="61"/>
      <c r="DC348" s="61"/>
      <c r="DD348" s="61"/>
      <c r="DE348" s="61"/>
      <c r="DF348" s="61"/>
      <c r="DG348" s="61"/>
      <c r="DH348" s="61"/>
      <c r="DI348" s="61"/>
      <c r="DJ348" s="61"/>
      <c r="DK348" s="61"/>
    </row>
    <row r="349" spans="1:115" ht="21" customHeight="1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108"/>
      <c r="N349" s="108"/>
      <c r="O349" s="108"/>
      <c r="P349" s="108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  <c r="CN349" s="61"/>
      <c r="CO349" s="61"/>
      <c r="CP349" s="61"/>
      <c r="CQ349" s="61"/>
      <c r="CR349" s="61"/>
      <c r="CS349" s="61"/>
      <c r="CT349" s="61"/>
      <c r="CU349" s="61"/>
      <c r="CV349" s="61"/>
      <c r="CW349" s="61"/>
      <c r="CX349" s="61"/>
      <c r="CY349" s="61"/>
      <c r="CZ349" s="61"/>
      <c r="DA349" s="61"/>
      <c r="DB349" s="61"/>
      <c r="DC349" s="61"/>
      <c r="DD349" s="61"/>
      <c r="DE349" s="61"/>
      <c r="DF349" s="61"/>
      <c r="DG349" s="61"/>
      <c r="DH349" s="61"/>
      <c r="DI349" s="61"/>
      <c r="DJ349" s="61"/>
      <c r="DK349" s="61"/>
    </row>
    <row r="350" spans="1:115" ht="21" customHeight="1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108"/>
      <c r="N350" s="108"/>
      <c r="O350" s="108"/>
      <c r="P350" s="108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61"/>
      <c r="DF350" s="61"/>
      <c r="DG350" s="61"/>
      <c r="DH350" s="61"/>
      <c r="DI350" s="61"/>
      <c r="DJ350" s="61"/>
      <c r="DK350" s="61"/>
    </row>
    <row r="351" spans="1:115" ht="21" customHeight="1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108"/>
      <c r="N351" s="108"/>
      <c r="O351" s="108"/>
      <c r="P351" s="108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  <c r="CN351" s="61"/>
      <c r="CO351" s="61"/>
      <c r="CP351" s="61"/>
      <c r="CQ351" s="61"/>
      <c r="CR351" s="61"/>
      <c r="CS351" s="61"/>
      <c r="CT351" s="61"/>
      <c r="CU351" s="61"/>
      <c r="CV351" s="61"/>
      <c r="CW351" s="61"/>
      <c r="CX351" s="61"/>
      <c r="CY351" s="61"/>
      <c r="CZ351" s="61"/>
      <c r="DA351" s="61"/>
      <c r="DB351" s="61"/>
      <c r="DC351" s="61"/>
      <c r="DD351" s="61"/>
      <c r="DE351" s="61"/>
      <c r="DF351" s="61"/>
      <c r="DG351" s="61"/>
      <c r="DH351" s="61"/>
      <c r="DI351" s="61"/>
      <c r="DJ351" s="61"/>
      <c r="DK351" s="61"/>
    </row>
    <row r="352" spans="1:115" ht="21" customHeight="1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108"/>
      <c r="N352" s="108"/>
      <c r="O352" s="108"/>
      <c r="P352" s="108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  <c r="CN352" s="61"/>
      <c r="CO352" s="61"/>
      <c r="CP352" s="61"/>
      <c r="CQ352" s="61"/>
      <c r="CR352" s="61"/>
      <c r="CS352" s="61"/>
      <c r="CT352" s="61"/>
      <c r="CU352" s="61"/>
      <c r="CV352" s="61"/>
      <c r="CW352" s="61"/>
      <c r="CX352" s="61"/>
      <c r="CY352" s="61"/>
      <c r="CZ352" s="61"/>
      <c r="DA352" s="61"/>
      <c r="DB352" s="61"/>
      <c r="DC352" s="61"/>
      <c r="DD352" s="61"/>
      <c r="DE352" s="61"/>
      <c r="DF352" s="61"/>
      <c r="DG352" s="61"/>
      <c r="DH352" s="61"/>
      <c r="DI352" s="61"/>
      <c r="DJ352" s="61"/>
      <c r="DK352" s="61"/>
    </row>
    <row r="353" spans="1:115" ht="21" customHeight="1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108"/>
      <c r="N353" s="108"/>
      <c r="O353" s="108"/>
      <c r="P353" s="108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  <c r="DE353" s="61"/>
      <c r="DF353" s="61"/>
      <c r="DG353" s="61"/>
      <c r="DH353" s="61"/>
      <c r="DI353" s="61"/>
      <c r="DJ353" s="61"/>
      <c r="DK353" s="61"/>
    </row>
    <row r="354" spans="1:115" ht="21" customHeight="1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108"/>
      <c r="N354" s="108"/>
      <c r="O354" s="108"/>
      <c r="P354" s="108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  <c r="DE354" s="61"/>
      <c r="DF354" s="61"/>
      <c r="DG354" s="61"/>
      <c r="DH354" s="61"/>
      <c r="DI354" s="61"/>
      <c r="DJ354" s="61"/>
      <c r="DK354" s="61"/>
    </row>
    <row r="355" spans="1:115" ht="21" customHeight="1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108"/>
      <c r="N355" s="108"/>
      <c r="O355" s="108"/>
      <c r="P355" s="108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  <c r="DE355" s="61"/>
      <c r="DF355" s="61"/>
      <c r="DG355" s="61"/>
      <c r="DH355" s="61"/>
      <c r="DI355" s="61"/>
      <c r="DJ355" s="61"/>
      <c r="DK355" s="61"/>
    </row>
    <row r="356" spans="1:115" ht="21" customHeight="1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108"/>
      <c r="N356" s="108"/>
      <c r="O356" s="108"/>
      <c r="P356" s="108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1"/>
      <c r="CL356" s="61"/>
      <c r="CM356" s="61"/>
      <c r="CN356" s="61"/>
      <c r="CO356" s="61"/>
      <c r="CP356" s="61"/>
      <c r="CQ356" s="61"/>
      <c r="CR356" s="61"/>
      <c r="CS356" s="61"/>
      <c r="CT356" s="61"/>
      <c r="CU356" s="61"/>
      <c r="CV356" s="61"/>
      <c r="CW356" s="61"/>
      <c r="CX356" s="61"/>
      <c r="CY356" s="61"/>
      <c r="CZ356" s="61"/>
      <c r="DA356" s="61"/>
      <c r="DB356" s="61"/>
      <c r="DC356" s="61"/>
      <c r="DD356" s="61"/>
      <c r="DE356" s="61"/>
      <c r="DF356" s="61"/>
      <c r="DG356" s="61"/>
      <c r="DH356" s="61"/>
      <c r="DI356" s="61"/>
      <c r="DJ356" s="61"/>
      <c r="DK356" s="61"/>
    </row>
    <row r="357" spans="1:115" ht="21" customHeight="1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108"/>
      <c r="N357" s="108"/>
      <c r="O357" s="108"/>
      <c r="P357" s="108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  <c r="CN357" s="61"/>
      <c r="CO357" s="61"/>
      <c r="CP357" s="61"/>
      <c r="CQ357" s="61"/>
      <c r="CR357" s="61"/>
      <c r="CS357" s="61"/>
      <c r="CT357" s="61"/>
      <c r="CU357" s="61"/>
      <c r="CV357" s="61"/>
      <c r="CW357" s="61"/>
      <c r="CX357" s="61"/>
      <c r="CY357" s="61"/>
      <c r="CZ357" s="61"/>
      <c r="DA357" s="61"/>
      <c r="DB357" s="61"/>
      <c r="DC357" s="61"/>
      <c r="DD357" s="61"/>
      <c r="DE357" s="61"/>
      <c r="DF357" s="61"/>
      <c r="DG357" s="61"/>
      <c r="DH357" s="61"/>
      <c r="DI357" s="61"/>
      <c r="DJ357" s="61"/>
      <c r="DK357" s="61"/>
    </row>
    <row r="358" spans="1:115" ht="21" customHeight="1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108"/>
      <c r="N358" s="108"/>
      <c r="O358" s="108"/>
      <c r="P358" s="108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  <c r="CP358" s="61"/>
      <c r="CQ358" s="61"/>
      <c r="CR358" s="61"/>
      <c r="CS358" s="61"/>
      <c r="CT358" s="61"/>
      <c r="CU358" s="61"/>
      <c r="CV358" s="61"/>
      <c r="CW358" s="61"/>
      <c r="CX358" s="61"/>
      <c r="CY358" s="61"/>
      <c r="CZ358" s="61"/>
      <c r="DA358" s="61"/>
      <c r="DB358" s="61"/>
      <c r="DC358" s="61"/>
      <c r="DD358" s="61"/>
      <c r="DE358" s="61"/>
      <c r="DF358" s="61"/>
      <c r="DG358" s="61"/>
      <c r="DH358" s="61"/>
      <c r="DI358" s="61"/>
      <c r="DJ358" s="61"/>
      <c r="DK358" s="61"/>
    </row>
    <row r="359" spans="1:115" ht="21" customHeight="1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108"/>
      <c r="N359" s="108"/>
      <c r="O359" s="108"/>
      <c r="P359" s="108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1"/>
      <c r="CK359" s="61"/>
      <c r="CL359" s="61"/>
      <c r="CM359" s="61"/>
      <c r="CN359" s="61"/>
      <c r="CO359" s="61"/>
      <c r="CP359" s="61"/>
      <c r="CQ359" s="61"/>
      <c r="CR359" s="61"/>
      <c r="CS359" s="61"/>
      <c r="CT359" s="61"/>
      <c r="CU359" s="61"/>
      <c r="CV359" s="61"/>
      <c r="CW359" s="61"/>
      <c r="CX359" s="61"/>
      <c r="CY359" s="61"/>
      <c r="CZ359" s="61"/>
      <c r="DA359" s="61"/>
      <c r="DB359" s="61"/>
      <c r="DC359" s="61"/>
      <c r="DD359" s="61"/>
      <c r="DE359" s="61"/>
      <c r="DF359" s="61"/>
      <c r="DG359" s="61"/>
      <c r="DH359" s="61"/>
      <c r="DI359" s="61"/>
      <c r="DJ359" s="61"/>
      <c r="DK359" s="61"/>
    </row>
    <row r="360" spans="1:115" ht="21" customHeight="1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108"/>
      <c r="N360" s="108"/>
      <c r="O360" s="108"/>
      <c r="P360" s="108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  <c r="CN360" s="61"/>
      <c r="CO360" s="61"/>
      <c r="CP360" s="61"/>
      <c r="CQ360" s="61"/>
      <c r="CR360" s="61"/>
      <c r="CS360" s="61"/>
      <c r="CT360" s="61"/>
      <c r="CU360" s="61"/>
      <c r="CV360" s="61"/>
      <c r="CW360" s="61"/>
      <c r="CX360" s="61"/>
      <c r="CY360" s="61"/>
      <c r="CZ360" s="61"/>
      <c r="DA360" s="61"/>
      <c r="DB360" s="61"/>
      <c r="DC360" s="61"/>
      <c r="DD360" s="61"/>
      <c r="DE360" s="61"/>
      <c r="DF360" s="61"/>
      <c r="DG360" s="61"/>
      <c r="DH360" s="61"/>
      <c r="DI360" s="61"/>
      <c r="DJ360" s="61"/>
      <c r="DK360" s="61"/>
    </row>
    <row r="361" spans="1:115" ht="21" customHeight="1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108"/>
      <c r="N361" s="108"/>
      <c r="O361" s="108"/>
      <c r="P361" s="108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  <c r="CN361" s="61"/>
      <c r="CO361" s="61"/>
      <c r="CP361" s="61"/>
      <c r="CQ361" s="61"/>
      <c r="CR361" s="61"/>
      <c r="CS361" s="61"/>
      <c r="CT361" s="61"/>
      <c r="CU361" s="61"/>
      <c r="CV361" s="61"/>
      <c r="CW361" s="61"/>
      <c r="CX361" s="61"/>
      <c r="CY361" s="61"/>
      <c r="CZ361" s="61"/>
      <c r="DA361" s="61"/>
      <c r="DB361" s="61"/>
      <c r="DC361" s="61"/>
      <c r="DD361" s="61"/>
      <c r="DE361" s="61"/>
      <c r="DF361" s="61"/>
      <c r="DG361" s="61"/>
      <c r="DH361" s="61"/>
      <c r="DI361" s="61"/>
      <c r="DJ361" s="61"/>
      <c r="DK361" s="61"/>
    </row>
    <row r="362" spans="1:115" ht="21" customHeight="1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108"/>
      <c r="N362" s="108"/>
      <c r="O362" s="108"/>
      <c r="P362" s="108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  <c r="CN362" s="61"/>
      <c r="CO362" s="61"/>
      <c r="CP362" s="61"/>
      <c r="CQ362" s="61"/>
      <c r="CR362" s="61"/>
      <c r="CS362" s="61"/>
      <c r="CT362" s="61"/>
      <c r="CU362" s="61"/>
      <c r="CV362" s="61"/>
      <c r="CW362" s="61"/>
      <c r="CX362" s="61"/>
      <c r="CY362" s="61"/>
      <c r="CZ362" s="61"/>
      <c r="DA362" s="61"/>
      <c r="DB362" s="61"/>
      <c r="DC362" s="61"/>
      <c r="DD362" s="61"/>
      <c r="DE362" s="61"/>
      <c r="DF362" s="61"/>
      <c r="DG362" s="61"/>
      <c r="DH362" s="61"/>
      <c r="DI362" s="61"/>
      <c r="DJ362" s="61"/>
      <c r="DK362" s="61"/>
    </row>
    <row r="363" spans="1:115" ht="21" customHeight="1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108"/>
      <c r="N363" s="108"/>
      <c r="O363" s="108"/>
      <c r="P363" s="108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1"/>
      <c r="CL363" s="61"/>
      <c r="CM363" s="61"/>
      <c r="CN363" s="61"/>
      <c r="CO363" s="61"/>
      <c r="CP363" s="61"/>
      <c r="CQ363" s="61"/>
      <c r="CR363" s="61"/>
      <c r="CS363" s="61"/>
      <c r="CT363" s="61"/>
      <c r="CU363" s="61"/>
      <c r="CV363" s="61"/>
      <c r="CW363" s="61"/>
      <c r="CX363" s="61"/>
      <c r="CY363" s="61"/>
      <c r="CZ363" s="61"/>
      <c r="DA363" s="61"/>
      <c r="DB363" s="61"/>
      <c r="DC363" s="61"/>
      <c r="DD363" s="61"/>
      <c r="DE363" s="61"/>
      <c r="DF363" s="61"/>
      <c r="DG363" s="61"/>
      <c r="DH363" s="61"/>
      <c r="DI363" s="61"/>
      <c r="DJ363" s="61"/>
      <c r="DK363" s="61"/>
    </row>
    <row r="364" spans="1:115" ht="21" customHeight="1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108"/>
      <c r="N364" s="108"/>
      <c r="O364" s="108"/>
      <c r="P364" s="108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1"/>
      <c r="CL364" s="61"/>
      <c r="CM364" s="61"/>
      <c r="CN364" s="61"/>
      <c r="CO364" s="61"/>
      <c r="CP364" s="61"/>
      <c r="CQ364" s="61"/>
      <c r="CR364" s="61"/>
      <c r="CS364" s="61"/>
      <c r="CT364" s="61"/>
      <c r="CU364" s="61"/>
      <c r="CV364" s="61"/>
      <c r="CW364" s="61"/>
      <c r="CX364" s="61"/>
      <c r="CY364" s="61"/>
      <c r="CZ364" s="61"/>
      <c r="DA364" s="61"/>
      <c r="DB364" s="61"/>
      <c r="DC364" s="61"/>
      <c r="DD364" s="61"/>
      <c r="DE364" s="61"/>
      <c r="DF364" s="61"/>
      <c r="DG364" s="61"/>
      <c r="DH364" s="61"/>
      <c r="DI364" s="61"/>
      <c r="DJ364" s="61"/>
      <c r="DK364" s="61"/>
    </row>
    <row r="365" spans="1:115" ht="21" customHeigh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108"/>
      <c r="N365" s="108"/>
      <c r="O365" s="108"/>
      <c r="P365" s="108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</row>
    <row r="366" spans="1:115" ht="21" customHeigh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108"/>
      <c r="N366" s="108"/>
      <c r="O366" s="108"/>
      <c r="P366" s="108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1"/>
      <c r="CL366" s="61"/>
      <c r="CM366" s="61"/>
      <c r="CN366" s="61"/>
      <c r="CO366" s="61"/>
      <c r="CP366" s="61"/>
      <c r="CQ366" s="61"/>
      <c r="CR366" s="61"/>
      <c r="CS366" s="61"/>
      <c r="CT366" s="61"/>
      <c r="CU366" s="61"/>
      <c r="CV366" s="61"/>
      <c r="CW366" s="61"/>
      <c r="CX366" s="61"/>
      <c r="CY366" s="61"/>
      <c r="CZ366" s="61"/>
      <c r="DA366" s="61"/>
      <c r="DB366" s="61"/>
      <c r="DC366" s="61"/>
      <c r="DD366" s="61"/>
      <c r="DE366" s="61"/>
      <c r="DF366" s="61"/>
      <c r="DG366" s="61"/>
      <c r="DH366" s="61"/>
      <c r="DI366" s="61"/>
      <c r="DJ366" s="61"/>
      <c r="DK366" s="61"/>
    </row>
    <row r="367" spans="1:115" ht="21" customHeight="1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108"/>
      <c r="N367" s="108"/>
      <c r="O367" s="108"/>
      <c r="P367" s="108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1"/>
      <c r="CL367" s="61"/>
      <c r="CM367" s="61"/>
      <c r="CN367" s="61"/>
      <c r="CO367" s="61"/>
      <c r="CP367" s="61"/>
      <c r="CQ367" s="61"/>
      <c r="CR367" s="61"/>
      <c r="CS367" s="61"/>
      <c r="CT367" s="61"/>
      <c r="CU367" s="61"/>
      <c r="CV367" s="61"/>
      <c r="CW367" s="61"/>
      <c r="CX367" s="61"/>
      <c r="CY367" s="61"/>
      <c r="CZ367" s="61"/>
      <c r="DA367" s="61"/>
      <c r="DB367" s="61"/>
      <c r="DC367" s="61"/>
      <c r="DD367" s="61"/>
      <c r="DE367" s="61"/>
      <c r="DF367" s="61"/>
      <c r="DG367" s="61"/>
      <c r="DH367" s="61"/>
      <c r="DI367" s="61"/>
      <c r="DJ367" s="61"/>
      <c r="DK367" s="61"/>
    </row>
    <row r="368" spans="1:115" ht="21" customHeight="1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108"/>
      <c r="N368" s="108"/>
      <c r="O368" s="108"/>
      <c r="P368" s="108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1"/>
      <c r="CK368" s="61"/>
      <c r="CL368" s="61"/>
      <c r="CM368" s="61"/>
      <c r="CN368" s="61"/>
      <c r="CO368" s="61"/>
      <c r="CP368" s="61"/>
      <c r="CQ368" s="61"/>
      <c r="CR368" s="61"/>
      <c r="CS368" s="61"/>
      <c r="CT368" s="61"/>
      <c r="CU368" s="61"/>
      <c r="CV368" s="61"/>
      <c r="CW368" s="61"/>
      <c r="CX368" s="61"/>
      <c r="CY368" s="61"/>
      <c r="CZ368" s="61"/>
      <c r="DA368" s="61"/>
      <c r="DB368" s="61"/>
      <c r="DC368" s="61"/>
      <c r="DD368" s="61"/>
      <c r="DE368" s="61"/>
      <c r="DF368" s="61"/>
      <c r="DG368" s="61"/>
      <c r="DH368" s="61"/>
      <c r="DI368" s="61"/>
      <c r="DJ368" s="61"/>
      <c r="DK368" s="61"/>
    </row>
    <row r="369" spans="1:115" ht="21" customHeigh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108"/>
      <c r="N369" s="108"/>
      <c r="O369" s="108"/>
      <c r="P369" s="108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  <c r="CP369" s="61"/>
      <c r="CQ369" s="61"/>
      <c r="CR369" s="61"/>
      <c r="CS369" s="61"/>
      <c r="CT369" s="61"/>
      <c r="CU369" s="61"/>
      <c r="CV369" s="61"/>
      <c r="CW369" s="61"/>
      <c r="CX369" s="61"/>
      <c r="CY369" s="61"/>
      <c r="CZ369" s="61"/>
      <c r="DA369" s="61"/>
      <c r="DB369" s="61"/>
      <c r="DC369" s="61"/>
      <c r="DD369" s="61"/>
      <c r="DE369" s="61"/>
      <c r="DF369" s="61"/>
      <c r="DG369" s="61"/>
      <c r="DH369" s="61"/>
      <c r="DI369" s="61"/>
      <c r="DJ369" s="61"/>
      <c r="DK369" s="61"/>
    </row>
    <row r="370" spans="1:115" ht="21" customHeigh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108"/>
      <c r="N370" s="108"/>
      <c r="O370" s="108"/>
      <c r="P370" s="108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1"/>
      <c r="CL370" s="61"/>
      <c r="CM370" s="61"/>
      <c r="CN370" s="61"/>
      <c r="CO370" s="61"/>
      <c r="CP370" s="61"/>
      <c r="CQ370" s="61"/>
      <c r="CR370" s="61"/>
      <c r="CS370" s="61"/>
      <c r="CT370" s="61"/>
      <c r="CU370" s="61"/>
      <c r="CV370" s="61"/>
      <c r="CW370" s="61"/>
      <c r="CX370" s="61"/>
      <c r="CY370" s="61"/>
      <c r="CZ370" s="61"/>
      <c r="DA370" s="61"/>
      <c r="DB370" s="61"/>
      <c r="DC370" s="61"/>
      <c r="DD370" s="61"/>
      <c r="DE370" s="61"/>
      <c r="DF370" s="61"/>
      <c r="DG370" s="61"/>
      <c r="DH370" s="61"/>
      <c r="DI370" s="61"/>
      <c r="DJ370" s="61"/>
      <c r="DK370" s="61"/>
    </row>
    <row r="371" spans="1:115" ht="21" customHeight="1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108"/>
      <c r="N371" s="108"/>
      <c r="O371" s="108"/>
      <c r="P371" s="108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  <c r="CN371" s="61"/>
      <c r="CO371" s="61"/>
      <c r="CP371" s="61"/>
      <c r="CQ371" s="61"/>
      <c r="CR371" s="61"/>
      <c r="CS371" s="61"/>
      <c r="CT371" s="61"/>
      <c r="CU371" s="61"/>
      <c r="CV371" s="61"/>
      <c r="CW371" s="61"/>
      <c r="CX371" s="61"/>
      <c r="CY371" s="61"/>
      <c r="CZ371" s="61"/>
      <c r="DA371" s="61"/>
      <c r="DB371" s="61"/>
      <c r="DC371" s="61"/>
      <c r="DD371" s="61"/>
      <c r="DE371" s="61"/>
      <c r="DF371" s="61"/>
      <c r="DG371" s="61"/>
      <c r="DH371" s="61"/>
      <c r="DI371" s="61"/>
      <c r="DJ371" s="61"/>
      <c r="DK371" s="61"/>
    </row>
    <row r="372" spans="1:115" ht="21" customHeight="1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108"/>
      <c r="N372" s="108"/>
      <c r="O372" s="108"/>
      <c r="P372" s="108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1"/>
      <c r="CL372" s="61"/>
      <c r="CM372" s="61"/>
      <c r="CN372" s="61"/>
      <c r="CO372" s="61"/>
      <c r="CP372" s="61"/>
      <c r="CQ372" s="61"/>
      <c r="CR372" s="61"/>
      <c r="CS372" s="61"/>
      <c r="CT372" s="61"/>
      <c r="CU372" s="61"/>
      <c r="CV372" s="61"/>
      <c r="CW372" s="61"/>
      <c r="CX372" s="61"/>
      <c r="CY372" s="61"/>
      <c r="CZ372" s="61"/>
      <c r="DA372" s="61"/>
      <c r="DB372" s="61"/>
      <c r="DC372" s="61"/>
      <c r="DD372" s="61"/>
      <c r="DE372" s="61"/>
      <c r="DF372" s="61"/>
      <c r="DG372" s="61"/>
      <c r="DH372" s="61"/>
      <c r="DI372" s="61"/>
      <c r="DJ372" s="61"/>
      <c r="DK372" s="61"/>
    </row>
    <row r="373" spans="1:115" ht="21" customHeigh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108"/>
      <c r="N373" s="108"/>
      <c r="O373" s="108"/>
      <c r="P373" s="108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1"/>
      <c r="CL373" s="61"/>
      <c r="CM373" s="61"/>
      <c r="CN373" s="61"/>
      <c r="CO373" s="61"/>
      <c r="CP373" s="61"/>
      <c r="CQ373" s="61"/>
      <c r="CR373" s="61"/>
      <c r="CS373" s="61"/>
      <c r="CT373" s="61"/>
      <c r="CU373" s="61"/>
      <c r="CV373" s="61"/>
      <c r="CW373" s="61"/>
      <c r="CX373" s="61"/>
      <c r="CY373" s="61"/>
      <c r="CZ373" s="61"/>
      <c r="DA373" s="61"/>
      <c r="DB373" s="61"/>
      <c r="DC373" s="61"/>
      <c r="DD373" s="61"/>
      <c r="DE373" s="61"/>
      <c r="DF373" s="61"/>
      <c r="DG373" s="61"/>
      <c r="DH373" s="61"/>
      <c r="DI373" s="61"/>
      <c r="DJ373" s="61"/>
      <c r="DK373" s="61"/>
    </row>
    <row r="374" spans="1:115" ht="21" customHeight="1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108"/>
      <c r="N374" s="108"/>
      <c r="O374" s="108"/>
      <c r="P374" s="108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1"/>
      <c r="CK374" s="61"/>
      <c r="CL374" s="61"/>
      <c r="CM374" s="61"/>
      <c r="CN374" s="61"/>
      <c r="CO374" s="61"/>
      <c r="CP374" s="61"/>
      <c r="CQ374" s="61"/>
      <c r="CR374" s="61"/>
      <c r="CS374" s="61"/>
      <c r="CT374" s="61"/>
      <c r="CU374" s="61"/>
      <c r="CV374" s="61"/>
      <c r="CW374" s="61"/>
      <c r="CX374" s="61"/>
      <c r="CY374" s="61"/>
      <c r="CZ374" s="61"/>
      <c r="DA374" s="61"/>
      <c r="DB374" s="61"/>
      <c r="DC374" s="61"/>
      <c r="DD374" s="61"/>
      <c r="DE374" s="61"/>
      <c r="DF374" s="61"/>
      <c r="DG374" s="61"/>
      <c r="DH374" s="61"/>
      <c r="DI374" s="61"/>
      <c r="DJ374" s="61"/>
      <c r="DK374" s="61"/>
    </row>
    <row r="375" spans="1:115" ht="21" customHeight="1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108"/>
      <c r="N375" s="108"/>
      <c r="O375" s="108"/>
      <c r="P375" s="108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1"/>
      <c r="CK375" s="61"/>
      <c r="CL375" s="61"/>
      <c r="CM375" s="61"/>
      <c r="CN375" s="61"/>
      <c r="CO375" s="61"/>
      <c r="CP375" s="61"/>
      <c r="CQ375" s="61"/>
      <c r="CR375" s="61"/>
      <c r="CS375" s="61"/>
      <c r="CT375" s="61"/>
      <c r="CU375" s="61"/>
      <c r="CV375" s="61"/>
      <c r="CW375" s="61"/>
      <c r="CX375" s="61"/>
      <c r="CY375" s="61"/>
      <c r="CZ375" s="61"/>
      <c r="DA375" s="61"/>
      <c r="DB375" s="61"/>
      <c r="DC375" s="61"/>
      <c r="DD375" s="61"/>
      <c r="DE375" s="61"/>
      <c r="DF375" s="61"/>
      <c r="DG375" s="61"/>
      <c r="DH375" s="61"/>
      <c r="DI375" s="61"/>
      <c r="DJ375" s="61"/>
      <c r="DK375" s="61"/>
    </row>
    <row r="376" spans="1:115" ht="21" customHeight="1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108"/>
      <c r="N376" s="108"/>
      <c r="O376" s="108"/>
      <c r="P376" s="108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  <c r="CN376" s="61"/>
      <c r="CO376" s="61"/>
      <c r="CP376" s="61"/>
      <c r="CQ376" s="61"/>
      <c r="CR376" s="61"/>
      <c r="CS376" s="61"/>
      <c r="CT376" s="61"/>
      <c r="CU376" s="61"/>
      <c r="CV376" s="61"/>
      <c r="CW376" s="61"/>
      <c r="CX376" s="61"/>
      <c r="CY376" s="61"/>
      <c r="CZ376" s="61"/>
      <c r="DA376" s="61"/>
      <c r="DB376" s="61"/>
      <c r="DC376" s="61"/>
      <c r="DD376" s="61"/>
      <c r="DE376" s="61"/>
      <c r="DF376" s="61"/>
      <c r="DG376" s="61"/>
      <c r="DH376" s="61"/>
      <c r="DI376" s="61"/>
      <c r="DJ376" s="61"/>
      <c r="DK376" s="61"/>
    </row>
    <row r="377" spans="1:115" ht="21" customHeight="1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108"/>
      <c r="N377" s="108"/>
      <c r="O377" s="108"/>
      <c r="P377" s="108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1"/>
      <c r="CL377" s="61"/>
      <c r="CM377" s="61"/>
      <c r="CN377" s="61"/>
      <c r="CO377" s="61"/>
      <c r="CP377" s="61"/>
      <c r="CQ377" s="61"/>
      <c r="CR377" s="61"/>
      <c r="CS377" s="61"/>
      <c r="CT377" s="61"/>
      <c r="CU377" s="61"/>
      <c r="CV377" s="61"/>
      <c r="CW377" s="61"/>
      <c r="CX377" s="61"/>
      <c r="CY377" s="61"/>
      <c r="CZ377" s="61"/>
      <c r="DA377" s="61"/>
      <c r="DB377" s="61"/>
      <c r="DC377" s="61"/>
      <c r="DD377" s="61"/>
      <c r="DE377" s="61"/>
      <c r="DF377" s="61"/>
      <c r="DG377" s="61"/>
      <c r="DH377" s="61"/>
      <c r="DI377" s="61"/>
      <c r="DJ377" s="61"/>
      <c r="DK377" s="61"/>
    </row>
    <row r="378" spans="1:115" ht="21" customHeight="1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108"/>
      <c r="N378" s="108"/>
      <c r="O378" s="108"/>
      <c r="P378" s="108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  <c r="CM378" s="61"/>
      <c r="CN378" s="61"/>
      <c r="CO378" s="61"/>
      <c r="CP378" s="61"/>
      <c r="CQ378" s="61"/>
      <c r="CR378" s="61"/>
      <c r="CS378" s="61"/>
      <c r="CT378" s="61"/>
      <c r="CU378" s="61"/>
      <c r="CV378" s="61"/>
      <c r="CW378" s="61"/>
      <c r="CX378" s="61"/>
      <c r="CY378" s="61"/>
      <c r="CZ378" s="61"/>
      <c r="DA378" s="61"/>
      <c r="DB378" s="61"/>
      <c r="DC378" s="61"/>
      <c r="DD378" s="61"/>
      <c r="DE378" s="61"/>
      <c r="DF378" s="61"/>
      <c r="DG378" s="61"/>
      <c r="DH378" s="61"/>
      <c r="DI378" s="61"/>
      <c r="DJ378" s="61"/>
      <c r="DK378" s="61"/>
    </row>
    <row r="379" spans="1:115" ht="21" customHeight="1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108"/>
      <c r="N379" s="108"/>
      <c r="O379" s="108"/>
      <c r="P379" s="108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1"/>
      <c r="CL379" s="61"/>
      <c r="CM379" s="61"/>
      <c r="CN379" s="61"/>
      <c r="CO379" s="61"/>
      <c r="CP379" s="61"/>
      <c r="CQ379" s="61"/>
      <c r="CR379" s="61"/>
      <c r="CS379" s="61"/>
      <c r="CT379" s="61"/>
      <c r="CU379" s="61"/>
      <c r="CV379" s="61"/>
      <c r="CW379" s="61"/>
      <c r="CX379" s="61"/>
      <c r="CY379" s="61"/>
      <c r="CZ379" s="61"/>
      <c r="DA379" s="61"/>
      <c r="DB379" s="61"/>
      <c r="DC379" s="61"/>
      <c r="DD379" s="61"/>
      <c r="DE379" s="61"/>
      <c r="DF379" s="61"/>
      <c r="DG379" s="61"/>
      <c r="DH379" s="61"/>
      <c r="DI379" s="61"/>
      <c r="DJ379" s="61"/>
      <c r="DK379" s="61"/>
    </row>
    <row r="380" spans="1:115" ht="21" customHeight="1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108"/>
      <c r="N380" s="108"/>
      <c r="O380" s="108"/>
      <c r="P380" s="108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1"/>
      <c r="CL380" s="61"/>
      <c r="CM380" s="61"/>
      <c r="CN380" s="61"/>
      <c r="CO380" s="61"/>
      <c r="CP380" s="61"/>
      <c r="CQ380" s="61"/>
      <c r="CR380" s="61"/>
      <c r="CS380" s="61"/>
      <c r="CT380" s="61"/>
      <c r="CU380" s="61"/>
      <c r="CV380" s="61"/>
      <c r="CW380" s="61"/>
      <c r="CX380" s="61"/>
      <c r="CY380" s="61"/>
      <c r="CZ380" s="61"/>
      <c r="DA380" s="61"/>
      <c r="DB380" s="61"/>
      <c r="DC380" s="61"/>
      <c r="DD380" s="61"/>
      <c r="DE380" s="61"/>
      <c r="DF380" s="61"/>
      <c r="DG380" s="61"/>
      <c r="DH380" s="61"/>
      <c r="DI380" s="61"/>
      <c r="DJ380" s="61"/>
      <c r="DK380" s="61"/>
    </row>
    <row r="381" spans="1:115" ht="21" customHeight="1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108"/>
      <c r="N381" s="108"/>
      <c r="O381" s="108"/>
      <c r="P381" s="108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1"/>
      <c r="CL381" s="61"/>
      <c r="CM381" s="61"/>
      <c r="CN381" s="61"/>
      <c r="CO381" s="61"/>
      <c r="CP381" s="61"/>
      <c r="CQ381" s="61"/>
      <c r="CR381" s="61"/>
      <c r="CS381" s="61"/>
      <c r="CT381" s="61"/>
      <c r="CU381" s="61"/>
      <c r="CV381" s="61"/>
      <c r="CW381" s="61"/>
      <c r="CX381" s="61"/>
      <c r="CY381" s="61"/>
      <c r="CZ381" s="61"/>
      <c r="DA381" s="61"/>
      <c r="DB381" s="61"/>
      <c r="DC381" s="61"/>
      <c r="DD381" s="61"/>
      <c r="DE381" s="61"/>
      <c r="DF381" s="61"/>
      <c r="DG381" s="61"/>
      <c r="DH381" s="61"/>
      <c r="DI381" s="61"/>
      <c r="DJ381" s="61"/>
      <c r="DK381" s="61"/>
    </row>
    <row r="382" spans="1:115" ht="21" customHeight="1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108"/>
      <c r="N382" s="108"/>
      <c r="O382" s="108"/>
      <c r="P382" s="108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1"/>
      <c r="CK382" s="61"/>
      <c r="CL382" s="61"/>
      <c r="CM382" s="61"/>
      <c r="CN382" s="61"/>
      <c r="CO382" s="61"/>
      <c r="CP382" s="61"/>
      <c r="CQ382" s="61"/>
      <c r="CR382" s="61"/>
      <c r="CS382" s="61"/>
      <c r="CT382" s="61"/>
      <c r="CU382" s="61"/>
      <c r="CV382" s="61"/>
      <c r="CW382" s="61"/>
      <c r="CX382" s="61"/>
      <c r="CY382" s="61"/>
      <c r="CZ382" s="61"/>
      <c r="DA382" s="61"/>
      <c r="DB382" s="61"/>
      <c r="DC382" s="61"/>
      <c r="DD382" s="61"/>
      <c r="DE382" s="61"/>
      <c r="DF382" s="61"/>
      <c r="DG382" s="61"/>
      <c r="DH382" s="61"/>
      <c r="DI382" s="61"/>
      <c r="DJ382" s="61"/>
      <c r="DK382" s="61"/>
    </row>
    <row r="383" spans="1:115" ht="21" customHeight="1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108"/>
      <c r="N383" s="108"/>
      <c r="O383" s="108"/>
      <c r="P383" s="108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1"/>
      <c r="CL383" s="61"/>
      <c r="CM383" s="61"/>
      <c r="CN383" s="61"/>
      <c r="CO383" s="61"/>
      <c r="CP383" s="61"/>
      <c r="CQ383" s="61"/>
      <c r="CR383" s="61"/>
      <c r="CS383" s="61"/>
      <c r="CT383" s="61"/>
      <c r="CU383" s="61"/>
      <c r="CV383" s="61"/>
      <c r="CW383" s="61"/>
      <c r="CX383" s="61"/>
      <c r="CY383" s="61"/>
      <c r="CZ383" s="61"/>
      <c r="DA383" s="61"/>
      <c r="DB383" s="61"/>
      <c r="DC383" s="61"/>
      <c r="DD383" s="61"/>
      <c r="DE383" s="61"/>
      <c r="DF383" s="61"/>
      <c r="DG383" s="61"/>
      <c r="DH383" s="61"/>
      <c r="DI383" s="61"/>
      <c r="DJ383" s="61"/>
      <c r="DK383" s="61"/>
    </row>
    <row r="384" spans="1:115" ht="21" customHeight="1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108"/>
      <c r="N384" s="108"/>
      <c r="O384" s="108"/>
      <c r="P384" s="108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1"/>
      <c r="CL384" s="61"/>
      <c r="CM384" s="61"/>
      <c r="CN384" s="61"/>
      <c r="CO384" s="61"/>
      <c r="CP384" s="61"/>
      <c r="CQ384" s="61"/>
      <c r="CR384" s="61"/>
      <c r="CS384" s="61"/>
      <c r="CT384" s="61"/>
      <c r="CU384" s="61"/>
      <c r="CV384" s="61"/>
      <c r="CW384" s="61"/>
      <c r="CX384" s="61"/>
      <c r="CY384" s="61"/>
      <c r="CZ384" s="61"/>
      <c r="DA384" s="61"/>
      <c r="DB384" s="61"/>
      <c r="DC384" s="61"/>
      <c r="DD384" s="61"/>
      <c r="DE384" s="61"/>
      <c r="DF384" s="61"/>
      <c r="DG384" s="61"/>
      <c r="DH384" s="61"/>
      <c r="DI384" s="61"/>
      <c r="DJ384" s="61"/>
      <c r="DK384" s="61"/>
    </row>
    <row r="385" spans="1:115" ht="21" customHeight="1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108"/>
      <c r="N385" s="108"/>
      <c r="O385" s="108"/>
      <c r="P385" s="108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1"/>
      <c r="CK385" s="61"/>
      <c r="CL385" s="61"/>
      <c r="CM385" s="61"/>
      <c r="CN385" s="61"/>
      <c r="CO385" s="61"/>
      <c r="CP385" s="61"/>
      <c r="CQ385" s="61"/>
      <c r="CR385" s="61"/>
      <c r="CS385" s="61"/>
      <c r="CT385" s="61"/>
      <c r="CU385" s="61"/>
      <c r="CV385" s="61"/>
      <c r="CW385" s="61"/>
      <c r="CX385" s="61"/>
      <c r="CY385" s="61"/>
      <c r="CZ385" s="61"/>
      <c r="DA385" s="61"/>
      <c r="DB385" s="61"/>
      <c r="DC385" s="61"/>
      <c r="DD385" s="61"/>
      <c r="DE385" s="61"/>
      <c r="DF385" s="61"/>
      <c r="DG385" s="61"/>
      <c r="DH385" s="61"/>
      <c r="DI385" s="61"/>
      <c r="DJ385" s="61"/>
      <c r="DK385" s="61"/>
    </row>
    <row r="386" spans="1:115" ht="21" customHeight="1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108"/>
      <c r="N386" s="108"/>
      <c r="O386" s="108"/>
      <c r="P386" s="108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1"/>
      <c r="CL386" s="61"/>
      <c r="CM386" s="61"/>
      <c r="CN386" s="61"/>
      <c r="CO386" s="61"/>
      <c r="CP386" s="61"/>
      <c r="CQ386" s="61"/>
      <c r="CR386" s="61"/>
      <c r="CS386" s="61"/>
      <c r="CT386" s="61"/>
      <c r="CU386" s="61"/>
      <c r="CV386" s="61"/>
      <c r="CW386" s="61"/>
      <c r="CX386" s="61"/>
      <c r="CY386" s="61"/>
      <c r="CZ386" s="61"/>
      <c r="DA386" s="61"/>
      <c r="DB386" s="61"/>
      <c r="DC386" s="61"/>
      <c r="DD386" s="61"/>
      <c r="DE386" s="61"/>
      <c r="DF386" s="61"/>
      <c r="DG386" s="61"/>
      <c r="DH386" s="61"/>
      <c r="DI386" s="61"/>
      <c r="DJ386" s="61"/>
      <c r="DK386" s="61"/>
    </row>
    <row r="387" spans="1:115" ht="21" customHeight="1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108"/>
      <c r="N387" s="108"/>
      <c r="O387" s="108"/>
      <c r="P387" s="108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1"/>
      <c r="CL387" s="61"/>
      <c r="CM387" s="61"/>
      <c r="CN387" s="61"/>
      <c r="CO387" s="61"/>
      <c r="CP387" s="61"/>
      <c r="CQ387" s="61"/>
      <c r="CR387" s="61"/>
      <c r="CS387" s="61"/>
      <c r="CT387" s="61"/>
      <c r="CU387" s="61"/>
      <c r="CV387" s="61"/>
      <c r="CW387" s="61"/>
      <c r="CX387" s="61"/>
      <c r="CY387" s="61"/>
      <c r="CZ387" s="61"/>
      <c r="DA387" s="61"/>
      <c r="DB387" s="61"/>
      <c r="DC387" s="61"/>
      <c r="DD387" s="61"/>
      <c r="DE387" s="61"/>
      <c r="DF387" s="61"/>
      <c r="DG387" s="61"/>
      <c r="DH387" s="61"/>
      <c r="DI387" s="61"/>
      <c r="DJ387" s="61"/>
      <c r="DK387" s="61"/>
    </row>
    <row r="388" spans="1:115" ht="21" customHeight="1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108"/>
      <c r="N388" s="108"/>
      <c r="O388" s="108"/>
      <c r="P388" s="108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1"/>
      <c r="CL388" s="61"/>
      <c r="CM388" s="61"/>
      <c r="CN388" s="61"/>
      <c r="CO388" s="61"/>
      <c r="CP388" s="61"/>
      <c r="CQ388" s="61"/>
      <c r="CR388" s="61"/>
      <c r="CS388" s="61"/>
      <c r="CT388" s="61"/>
      <c r="CU388" s="61"/>
      <c r="CV388" s="61"/>
      <c r="CW388" s="61"/>
      <c r="CX388" s="61"/>
      <c r="CY388" s="61"/>
      <c r="CZ388" s="61"/>
      <c r="DA388" s="61"/>
      <c r="DB388" s="61"/>
      <c r="DC388" s="61"/>
      <c r="DD388" s="61"/>
      <c r="DE388" s="61"/>
      <c r="DF388" s="61"/>
      <c r="DG388" s="61"/>
      <c r="DH388" s="61"/>
      <c r="DI388" s="61"/>
      <c r="DJ388" s="61"/>
      <c r="DK388" s="61"/>
    </row>
    <row r="389" spans="1:115" ht="21" customHeight="1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108"/>
      <c r="N389" s="108"/>
      <c r="O389" s="108"/>
      <c r="P389" s="108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1"/>
      <c r="CL389" s="61"/>
      <c r="CM389" s="61"/>
      <c r="CN389" s="61"/>
      <c r="CO389" s="61"/>
      <c r="CP389" s="61"/>
      <c r="CQ389" s="61"/>
      <c r="CR389" s="61"/>
      <c r="CS389" s="61"/>
      <c r="CT389" s="61"/>
      <c r="CU389" s="61"/>
      <c r="CV389" s="61"/>
      <c r="CW389" s="61"/>
      <c r="CX389" s="61"/>
      <c r="CY389" s="61"/>
      <c r="CZ389" s="61"/>
      <c r="DA389" s="61"/>
      <c r="DB389" s="61"/>
      <c r="DC389" s="61"/>
      <c r="DD389" s="61"/>
      <c r="DE389" s="61"/>
      <c r="DF389" s="61"/>
      <c r="DG389" s="61"/>
      <c r="DH389" s="61"/>
      <c r="DI389" s="61"/>
      <c r="DJ389" s="61"/>
      <c r="DK389" s="61"/>
    </row>
    <row r="390" spans="1:115" ht="21" customHeight="1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108"/>
      <c r="N390" s="108"/>
      <c r="O390" s="108"/>
      <c r="P390" s="108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1"/>
      <c r="CL390" s="61"/>
      <c r="CM390" s="61"/>
      <c r="CN390" s="61"/>
      <c r="CO390" s="61"/>
      <c r="CP390" s="61"/>
      <c r="CQ390" s="61"/>
      <c r="CR390" s="61"/>
      <c r="CS390" s="61"/>
      <c r="CT390" s="61"/>
      <c r="CU390" s="61"/>
      <c r="CV390" s="61"/>
      <c r="CW390" s="61"/>
      <c r="CX390" s="61"/>
      <c r="CY390" s="61"/>
      <c r="CZ390" s="61"/>
      <c r="DA390" s="61"/>
      <c r="DB390" s="61"/>
      <c r="DC390" s="61"/>
      <c r="DD390" s="61"/>
      <c r="DE390" s="61"/>
      <c r="DF390" s="61"/>
      <c r="DG390" s="61"/>
      <c r="DH390" s="61"/>
      <c r="DI390" s="61"/>
      <c r="DJ390" s="61"/>
      <c r="DK390" s="61"/>
    </row>
    <row r="391" spans="1:115" ht="21" customHeight="1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108"/>
      <c r="N391" s="108"/>
      <c r="O391" s="108"/>
      <c r="P391" s="108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1"/>
      <c r="CL391" s="61"/>
      <c r="CM391" s="61"/>
      <c r="CN391" s="61"/>
      <c r="CO391" s="61"/>
      <c r="CP391" s="61"/>
      <c r="CQ391" s="61"/>
      <c r="CR391" s="61"/>
      <c r="CS391" s="61"/>
      <c r="CT391" s="61"/>
      <c r="CU391" s="61"/>
      <c r="CV391" s="61"/>
      <c r="CW391" s="61"/>
      <c r="CX391" s="61"/>
      <c r="CY391" s="61"/>
      <c r="CZ391" s="61"/>
      <c r="DA391" s="61"/>
      <c r="DB391" s="61"/>
      <c r="DC391" s="61"/>
      <c r="DD391" s="61"/>
      <c r="DE391" s="61"/>
      <c r="DF391" s="61"/>
      <c r="DG391" s="61"/>
      <c r="DH391" s="61"/>
      <c r="DI391" s="61"/>
      <c r="DJ391" s="61"/>
      <c r="DK391" s="61"/>
    </row>
    <row r="392" spans="1:115" ht="21" customHeight="1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108"/>
      <c r="N392" s="108"/>
      <c r="O392" s="108"/>
      <c r="P392" s="108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1"/>
      <c r="CL392" s="61"/>
      <c r="CM392" s="61"/>
      <c r="CN392" s="61"/>
      <c r="CO392" s="61"/>
      <c r="CP392" s="61"/>
      <c r="CQ392" s="61"/>
      <c r="CR392" s="61"/>
      <c r="CS392" s="61"/>
      <c r="CT392" s="61"/>
      <c r="CU392" s="61"/>
      <c r="CV392" s="61"/>
      <c r="CW392" s="61"/>
      <c r="CX392" s="61"/>
      <c r="CY392" s="61"/>
      <c r="CZ392" s="61"/>
      <c r="DA392" s="61"/>
      <c r="DB392" s="61"/>
      <c r="DC392" s="61"/>
      <c r="DD392" s="61"/>
      <c r="DE392" s="61"/>
      <c r="DF392" s="61"/>
      <c r="DG392" s="61"/>
      <c r="DH392" s="61"/>
      <c r="DI392" s="61"/>
      <c r="DJ392" s="61"/>
      <c r="DK392" s="61"/>
    </row>
    <row r="393" spans="1:115" ht="21" customHeight="1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108"/>
      <c r="N393" s="108"/>
      <c r="O393" s="108"/>
      <c r="P393" s="108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1"/>
      <c r="CL393" s="61"/>
      <c r="CM393" s="61"/>
      <c r="CN393" s="61"/>
      <c r="CO393" s="61"/>
      <c r="CP393" s="61"/>
      <c r="CQ393" s="61"/>
      <c r="CR393" s="61"/>
      <c r="CS393" s="61"/>
      <c r="CT393" s="61"/>
      <c r="CU393" s="61"/>
      <c r="CV393" s="61"/>
      <c r="CW393" s="61"/>
      <c r="CX393" s="61"/>
      <c r="CY393" s="61"/>
      <c r="CZ393" s="61"/>
      <c r="DA393" s="61"/>
      <c r="DB393" s="61"/>
      <c r="DC393" s="61"/>
      <c r="DD393" s="61"/>
      <c r="DE393" s="61"/>
      <c r="DF393" s="61"/>
      <c r="DG393" s="61"/>
      <c r="DH393" s="61"/>
      <c r="DI393" s="61"/>
      <c r="DJ393" s="61"/>
      <c r="DK393" s="61"/>
    </row>
    <row r="394" spans="1:115" ht="21" customHeight="1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108"/>
      <c r="N394" s="108"/>
      <c r="O394" s="108"/>
      <c r="P394" s="108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1"/>
      <c r="CL394" s="61"/>
      <c r="CM394" s="61"/>
      <c r="CN394" s="61"/>
      <c r="CO394" s="61"/>
      <c r="CP394" s="61"/>
      <c r="CQ394" s="61"/>
      <c r="CR394" s="61"/>
      <c r="CS394" s="61"/>
      <c r="CT394" s="61"/>
      <c r="CU394" s="61"/>
      <c r="CV394" s="61"/>
      <c r="CW394" s="61"/>
      <c r="CX394" s="61"/>
      <c r="CY394" s="61"/>
      <c r="CZ394" s="61"/>
      <c r="DA394" s="61"/>
      <c r="DB394" s="61"/>
      <c r="DC394" s="61"/>
      <c r="DD394" s="61"/>
      <c r="DE394" s="61"/>
      <c r="DF394" s="61"/>
      <c r="DG394" s="61"/>
      <c r="DH394" s="61"/>
      <c r="DI394" s="61"/>
      <c r="DJ394" s="61"/>
      <c r="DK394" s="61"/>
    </row>
    <row r="395" spans="1:115" ht="21" customHeight="1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108"/>
      <c r="N395" s="108"/>
      <c r="O395" s="108"/>
      <c r="P395" s="108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1"/>
      <c r="CL395" s="61"/>
      <c r="CM395" s="61"/>
      <c r="CN395" s="61"/>
      <c r="CO395" s="61"/>
      <c r="CP395" s="61"/>
      <c r="CQ395" s="61"/>
      <c r="CR395" s="61"/>
      <c r="CS395" s="61"/>
      <c r="CT395" s="61"/>
      <c r="CU395" s="61"/>
      <c r="CV395" s="61"/>
      <c r="CW395" s="61"/>
      <c r="CX395" s="61"/>
      <c r="CY395" s="61"/>
      <c r="CZ395" s="61"/>
      <c r="DA395" s="61"/>
      <c r="DB395" s="61"/>
      <c r="DC395" s="61"/>
      <c r="DD395" s="61"/>
      <c r="DE395" s="61"/>
      <c r="DF395" s="61"/>
      <c r="DG395" s="61"/>
      <c r="DH395" s="61"/>
      <c r="DI395" s="61"/>
      <c r="DJ395" s="61"/>
      <c r="DK395" s="61"/>
    </row>
    <row r="396" spans="1:115" ht="21" customHeight="1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108"/>
      <c r="N396" s="108"/>
      <c r="O396" s="108"/>
      <c r="P396" s="108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1"/>
      <c r="CL396" s="61"/>
      <c r="CM396" s="61"/>
      <c r="CN396" s="61"/>
      <c r="CO396" s="61"/>
      <c r="CP396" s="61"/>
      <c r="CQ396" s="61"/>
      <c r="CR396" s="61"/>
      <c r="CS396" s="61"/>
      <c r="CT396" s="61"/>
      <c r="CU396" s="61"/>
      <c r="CV396" s="61"/>
      <c r="CW396" s="61"/>
      <c r="CX396" s="61"/>
      <c r="CY396" s="61"/>
      <c r="CZ396" s="61"/>
      <c r="DA396" s="61"/>
      <c r="DB396" s="61"/>
      <c r="DC396" s="61"/>
      <c r="DD396" s="61"/>
      <c r="DE396" s="61"/>
      <c r="DF396" s="61"/>
      <c r="DG396" s="61"/>
      <c r="DH396" s="61"/>
      <c r="DI396" s="61"/>
      <c r="DJ396" s="61"/>
      <c r="DK396" s="61"/>
    </row>
    <row r="397" spans="1:115" ht="21" customHeight="1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108"/>
      <c r="N397" s="108"/>
      <c r="O397" s="108"/>
      <c r="P397" s="108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1"/>
      <c r="CL397" s="61"/>
      <c r="CM397" s="61"/>
      <c r="CN397" s="61"/>
      <c r="CO397" s="61"/>
      <c r="CP397" s="61"/>
      <c r="CQ397" s="61"/>
      <c r="CR397" s="61"/>
      <c r="CS397" s="61"/>
      <c r="CT397" s="61"/>
      <c r="CU397" s="61"/>
      <c r="CV397" s="61"/>
      <c r="CW397" s="61"/>
      <c r="CX397" s="61"/>
      <c r="CY397" s="61"/>
      <c r="CZ397" s="61"/>
      <c r="DA397" s="61"/>
      <c r="DB397" s="61"/>
      <c r="DC397" s="61"/>
      <c r="DD397" s="61"/>
      <c r="DE397" s="61"/>
      <c r="DF397" s="61"/>
      <c r="DG397" s="61"/>
      <c r="DH397" s="61"/>
      <c r="DI397" s="61"/>
      <c r="DJ397" s="61"/>
      <c r="DK397" s="61"/>
    </row>
    <row r="398" spans="1:115" ht="21" customHeight="1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108"/>
      <c r="N398" s="108"/>
      <c r="O398" s="108"/>
      <c r="P398" s="108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1"/>
      <c r="CL398" s="61"/>
      <c r="CM398" s="61"/>
      <c r="CN398" s="61"/>
      <c r="CO398" s="61"/>
      <c r="CP398" s="61"/>
      <c r="CQ398" s="61"/>
      <c r="CR398" s="61"/>
      <c r="CS398" s="61"/>
      <c r="CT398" s="61"/>
      <c r="CU398" s="61"/>
      <c r="CV398" s="61"/>
      <c r="CW398" s="61"/>
      <c r="CX398" s="61"/>
      <c r="CY398" s="61"/>
      <c r="CZ398" s="61"/>
      <c r="DA398" s="61"/>
      <c r="DB398" s="61"/>
      <c r="DC398" s="61"/>
      <c r="DD398" s="61"/>
      <c r="DE398" s="61"/>
      <c r="DF398" s="61"/>
      <c r="DG398" s="61"/>
      <c r="DH398" s="61"/>
      <c r="DI398" s="61"/>
      <c r="DJ398" s="61"/>
      <c r="DK398" s="61"/>
    </row>
    <row r="399" spans="1:115" ht="21" customHeight="1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108"/>
      <c r="N399" s="108"/>
      <c r="O399" s="108"/>
      <c r="P399" s="108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1"/>
      <c r="CL399" s="61"/>
      <c r="CM399" s="61"/>
      <c r="CN399" s="61"/>
      <c r="CO399" s="61"/>
      <c r="CP399" s="61"/>
      <c r="CQ399" s="61"/>
      <c r="CR399" s="61"/>
      <c r="CS399" s="61"/>
      <c r="CT399" s="61"/>
      <c r="CU399" s="61"/>
      <c r="CV399" s="61"/>
      <c r="CW399" s="61"/>
      <c r="CX399" s="61"/>
      <c r="CY399" s="61"/>
      <c r="CZ399" s="61"/>
      <c r="DA399" s="61"/>
      <c r="DB399" s="61"/>
      <c r="DC399" s="61"/>
      <c r="DD399" s="61"/>
      <c r="DE399" s="61"/>
      <c r="DF399" s="61"/>
      <c r="DG399" s="61"/>
      <c r="DH399" s="61"/>
      <c r="DI399" s="61"/>
      <c r="DJ399" s="61"/>
      <c r="DK399" s="61"/>
    </row>
    <row r="400" spans="1:115" ht="21" customHeight="1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108"/>
      <c r="N400" s="108"/>
      <c r="O400" s="108"/>
      <c r="P400" s="108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1"/>
      <c r="CL400" s="61"/>
      <c r="CM400" s="61"/>
      <c r="CN400" s="61"/>
      <c r="CO400" s="61"/>
      <c r="CP400" s="61"/>
      <c r="CQ400" s="61"/>
      <c r="CR400" s="61"/>
      <c r="CS400" s="61"/>
      <c r="CT400" s="61"/>
      <c r="CU400" s="61"/>
      <c r="CV400" s="61"/>
      <c r="CW400" s="61"/>
      <c r="CX400" s="61"/>
      <c r="CY400" s="61"/>
      <c r="CZ400" s="61"/>
      <c r="DA400" s="61"/>
      <c r="DB400" s="61"/>
      <c r="DC400" s="61"/>
      <c r="DD400" s="61"/>
      <c r="DE400" s="61"/>
      <c r="DF400" s="61"/>
      <c r="DG400" s="61"/>
      <c r="DH400" s="61"/>
      <c r="DI400" s="61"/>
      <c r="DJ400" s="61"/>
      <c r="DK400" s="61"/>
    </row>
    <row r="401" spans="1:115" ht="21" customHeight="1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108"/>
      <c r="N401" s="108"/>
      <c r="O401" s="108"/>
      <c r="P401" s="108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1"/>
      <c r="CL401" s="61"/>
      <c r="CM401" s="61"/>
      <c r="CN401" s="61"/>
      <c r="CO401" s="61"/>
      <c r="CP401" s="61"/>
      <c r="CQ401" s="61"/>
      <c r="CR401" s="61"/>
      <c r="CS401" s="61"/>
      <c r="CT401" s="61"/>
      <c r="CU401" s="61"/>
      <c r="CV401" s="61"/>
      <c r="CW401" s="61"/>
      <c r="CX401" s="61"/>
      <c r="CY401" s="61"/>
      <c r="CZ401" s="61"/>
      <c r="DA401" s="61"/>
      <c r="DB401" s="61"/>
      <c r="DC401" s="61"/>
      <c r="DD401" s="61"/>
      <c r="DE401" s="61"/>
      <c r="DF401" s="61"/>
      <c r="DG401" s="61"/>
      <c r="DH401" s="61"/>
      <c r="DI401" s="61"/>
      <c r="DJ401" s="61"/>
      <c r="DK401" s="61"/>
    </row>
    <row r="402" spans="1:115" ht="21" customHeight="1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108"/>
      <c r="N402" s="108"/>
      <c r="O402" s="108"/>
      <c r="P402" s="108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1"/>
      <c r="CL402" s="61"/>
      <c r="CM402" s="61"/>
      <c r="CN402" s="61"/>
      <c r="CO402" s="61"/>
      <c r="CP402" s="61"/>
      <c r="CQ402" s="61"/>
      <c r="CR402" s="61"/>
      <c r="CS402" s="61"/>
      <c r="CT402" s="61"/>
      <c r="CU402" s="61"/>
      <c r="CV402" s="61"/>
      <c r="CW402" s="61"/>
      <c r="CX402" s="61"/>
      <c r="CY402" s="61"/>
      <c r="CZ402" s="61"/>
      <c r="DA402" s="61"/>
      <c r="DB402" s="61"/>
      <c r="DC402" s="61"/>
      <c r="DD402" s="61"/>
      <c r="DE402" s="61"/>
      <c r="DF402" s="61"/>
      <c r="DG402" s="61"/>
      <c r="DH402" s="61"/>
      <c r="DI402" s="61"/>
      <c r="DJ402" s="61"/>
      <c r="DK402" s="61"/>
    </row>
    <row r="403" spans="1:115" ht="21" customHeight="1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108"/>
      <c r="N403" s="108"/>
      <c r="O403" s="108"/>
      <c r="P403" s="108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  <c r="CN403" s="61"/>
      <c r="CO403" s="61"/>
      <c r="CP403" s="61"/>
      <c r="CQ403" s="61"/>
      <c r="CR403" s="61"/>
      <c r="CS403" s="61"/>
      <c r="CT403" s="61"/>
      <c r="CU403" s="61"/>
      <c r="CV403" s="61"/>
      <c r="CW403" s="61"/>
      <c r="CX403" s="61"/>
      <c r="CY403" s="61"/>
      <c r="CZ403" s="61"/>
      <c r="DA403" s="61"/>
      <c r="DB403" s="61"/>
      <c r="DC403" s="61"/>
      <c r="DD403" s="61"/>
      <c r="DE403" s="61"/>
      <c r="DF403" s="61"/>
      <c r="DG403" s="61"/>
      <c r="DH403" s="61"/>
      <c r="DI403" s="61"/>
      <c r="DJ403" s="61"/>
      <c r="DK403" s="61"/>
    </row>
    <row r="404" spans="1:115" ht="21" customHeight="1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108"/>
      <c r="N404" s="108"/>
      <c r="O404" s="108"/>
      <c r="P404" s="108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  <c r="CN404" s="61"/>
      <c r="CO404" s="61"/>
      <c r="CP404" s="61"/>
      <c r="CQ404" s="61"/>
      <c r="CR404" s="61"/>
      <c r="CS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61"/>
      <c r="DH404" s="61"/>
      <c r="DI404" s="61"/>
      <c r="DJ404" s="61"/>
      <c r="DK404" s="61"/>
    </row>
    <row r="405" spans="1:115" ht="21" customHeight="1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108"/>
      <c r="N405" s="108"/>
      <c r="O405" s="108"/>
      <c r="P405" s="108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1"/>
      <c r="CK405" s="61"/>
      <c r="CL405" s="61"/>
      <c r="CM405" s="61"/>
      <c r="CN405" s="61"/>
      <c r="CO405" s="61"/>
      <c r="CP405" s="61"/>
      <c r="CQ405" s="61"/>
      <c r="CR405" s="61"/>
      <c r="CS405" s="61"/>
      <c r="CT405" s="61"/>
      <c r="CU405" s="61"/>
      <c r="CV405" s="61"/>
      <c r="CW405" s="61"/>
      <c r="CX405" s="61"/>
      <c r="CY405" s="61"/>
      <c r="CZ405" s="61"/>
      <c r="DA405" s="61"/>
      <c r="DB405" s="61"/>
      <c r="DC405" s="61"/>
      <c r="DD405" s="61"/>
      <c r="DE405" s="61"/>
      <c r="DF405" s="61"/>
      <c r="DG405" s="61"/>
      <c r="DH405" s="61"/>
      <c r="DI405" s="61"/>
      <c r="DJ405" s="61"/>
      <c r="DK405" s="61"/>
    </row>
    <row r="406" spans="1:115" ht="21" customHeight="1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108"/>
      <c r="N406" s="108"/>
      <c r="O406" s="108"/>
      <c r="P406" s="108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1"/>
      <c r="CL406" s="61"/>
      <c r="CM406" s="61"/>
      <c r="CN406" s="61"/>
      <c r="CO406" s="61"/>
      <c r="CP406" s="61"/>
      <c r="CQ406" s="61"/>
      <c r="CR406" s="61"/>
      <c r="CS406" s="61"/>
      <c r="CT406" s="61"/>
      <c r="CU406" s="61"/>
      <c r="CV406" s="61"/>
      <c r="CW406" s="61"/>
      <c r="CX406" s="61"/>
      <c r="CY406" s="61"/>
      <c r="CZ406" s="61"/>
      <c r="DA406" s="61"/>
      <c r="DB406" s="61"/>
      <c r="DC406" s="61"/>
      <c r="DD406" s="61"/>
      <c r="DE406" s="61"/>
      <c r="DF406" s="61"/>
      <c r="DG406" s="61"/>
      <c r="DH406" s="61"/>
      <c r="DI406" s="61"/>
      <c r="DJ406" s="61"/>
      <c r="DK406" s="61"/>
    </row>
    <row r="407" spans="1:115" ht="21" customHeight="1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108"/>
      <c r="N407" s="108"/>
      <c r="O407" s="108"/>
      <c r="P407" s="108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1"/>
      <c r="CL407" s="61"/>
      <c r="CM407" s="61"/>
      <c r="CN407" s="61"/>
      <c r="CO407" s="61"/>
      <c r="CP407" s="61"/>
      <c r="CQ407" s="61"/>
      <c r="CR407" s="61"/>
      <c r="CS407" s="61"/>
      <c r="CT407" s="61"/>
      <c r="CU407" s="61"/>
      <c r="CV407" s="61"/>
      <c r="CW407" s="61"/>
      <c r="CX407" s="61"/>
      <c r="CY407" s="61"/>
      <c r="CZ407" s="61"/>
      <c r="DA407" s="61"/>
      <c r="DB407" s="61"/>
      <c r="DC407" s="61"/>
      <c r="DD407" s="61"/>
      <c r="DE407" s="61"/>
      <c r="DF407" s="61"/>
      <c r="DG407" s="61"/>
      <c r="DH407" s="61"/>
      <c r="DI407" s="61"/>
      <c r="DJ407" s="61"/>
      <c r="DK407" s="61"/>
    </row>
    <row r="408" spans="1:115" ht="21" customHeight="1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108"/>
      <c r="N408" s="108"/>
      <c r="O408" s="108"/>
      <c r="P408" s="108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1"/>
      <c r="CL408" s="61"/>
      <c r="CM408" s="61"/>
      <c r="CN408" s="61"/>
      <c r="CO408" s="61"/>
      <c r="CP408" s="61"/>
      <c r="CQ408" s="61"/>
      <c r="CR408" s="61"/>
      <c r="CS408" s="61"/>
      <c r="CT408" s="61"/>
      <c r="CU408" s="61"/>
      <c r="CV408" s="61"/>
      <c r="CW408" s="61"/>
      <c r="CX408" s="61"/>
      <c r="CY408" s="61"/>
      <c r="CZ408" s="61"/>
      <c r="DA408" s="61"/>
      <c r="DB408" s="61"/>
      <c r="DC408" s="61"/>
      <c r="DD408" s="61"/>
      <c r="DE408" s="61"/>
      <c r="DF408" s="61"/>
      <c r="DG408" s="61"/>
      <c r="DH408" s="61"/>
      <c r="DI408" s="61"/>
      <c r="DJ408" s="61"/>
      <c r="DK408" s="61"/>
    </row>
    <row r="409" spans="1:115" ht="21" customHeight="1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108"/>
      <c r="N409" s="108"/>
      <c r="O409" s="108"/>
      <c r="P409" s="108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  <c r="CM409" s="61"/>
      <c r="CN409" s="61"/>
      <c r="CO409" s="61"/>
      <c r="CP409" s="61"/>
      <c r="CQ409" s="61"/>
      <c r="CR409" s="61"/>
      <c r="CS409" s="61"/>
      <c r="CT409" s="61"/>
      <c r="CU409" s="61"/>
      <c r="CV409" s="61"/>
      <c r="CW409" s="61"/>
      <c r="CX409" s="61"/>
      <c r="CY409" s="61"/>
      <c r="CZ409" s="61"/>
      <c r="DA409" s="61"/>
      <c r="DB409" s="61"/>
      <c r="DC409" s="61"/>
      <c r="DD409" s="61"/>
      <c r="DE409" s="61"/>
      <c r="DF409" s="61"/>
      <c r="DG409" s="61"/>
      <c r="DH409" s="61"/>
      <c r="DI409" s="61"/>
      <c r="DJ409" s="61"/>
      <c r="DK409" s="61"/>
    </row>
    <row r="410" spans="1:115" ht="21" customHeight="1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108"/>
      <c r="N410" s="108"/>
      <c r="O410" s="108"/>
      <c r="P410" s="108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1"/>
      <c r="CL410" s="61"/>
      <c r="CM410" s="61"/>
      <c r="CN410" s="61"/>
      <c r="CO410" s="61"/>
      <c r="CP410" s="61"/>
      <c r="CQ410" s="61"/>
      <c r="CR410" s="61"/>
      <c r="CS410" s="61"/>
      <c r="CT410" s="61"/>
      <c r="CU410" s="61"/>
      <c r="CV410" s="61"/>
      <c r="CW410" s="61"/>
      <c r="CX410" s="61"/>
      <c r="CY410" s="61"/>
      <c r="CZ410" s="61"/>
      <c r="DA410" s="61"/>
      <c r="DB410" s="61"/>
      <c r="DC410" s="61"/>
      <c r="DD410" s="61"/>
      <c r="DE410" s="61"/>
      <c r="DF410" s="61"/>
      <c r="DG410" s="61"/>
      <c r="DH410" s="61"/>
      <c r="DI410" s="61"/>
      <c r="DJ410" s="61"/>
      <c r="DK410" s="61"/>
    </row>
    <row r="411" spans="1:115" ht="21" customHeight="1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108"/>
      <c r="N411" s="108"/>
      <c r="O411" s="108"/>
      <c r="P411" s="108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1"/>
      <c r="CL411" s="61"/>
      <c r="CM411" s="61"/>
      <c r="CN411" s="61"/>
      <c r="CO411" s="61"/>
      <c r="CP411" s="61"/>
      <c r="CQ411" s="61"/>
      <c r="CR411" s="61"/>
      <c r="CS411" s="61"/>
      <c r="CT411" s="61"/>
      <c r="CU411" s="61"/>
      <c r="CV411" s="61"/>
      <c r="CW411" s="61"/>
      <c r="CX411" s="61"/>
      <c r="CY411" s="61"/>
      <c r="CZ411" s="61"/>
      <c r="DA411" s="61"/>
      <c r="DB411" s="61"/>
      <c r="DC411" s="61"/>
      <c r="DD411" s="61"/>
      <c r="DE411" s="61"/>
      <c r="DF411" s="61"/>
      <c r="DG411" s="61"/>
      <c r="DH411" s="61"/>
      <c r="DI411" s="61"/>
      <c r="DJ411" s="61"/>
      <c r="DK411" s="61"/>
    </row>
    <row r="412" spans="1:115" ht="21" customHeight="1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108"/>
      <c r="N412" s="108"/>
      <c r="O412" s="108"/>
      <c r="P412" s="108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1"/>
      <c r="CL412" s="61"/>
      <c r="CM412" s="61"/>
      <c r="CN412" s="61"/>
      <c r="CO412" s="61"/>
      <c r="CP412" s="61"/>
      <c r="CQ412" s="61"/>
      <c r="CR412" s="61"/>
      <c r="CS412" s="61"/>
      <c r="CT412" s="61"/>
      <c r="CU412" s="61"/>
      <c r="CV412" s="61"/>
      <c r="CW412" s="61"/>
      <c r="CX412" s="61"/>
      <c r="CY412" s="61"/>
      <c r="CZ412" s="61"/>
      <c r="DA412" s="61"/>
      <c r="DB412" s="61"/>
      <c r="DC412" s="61"/>
      <c r="DD412" s="61"/>
      <c r="DE412" s="61"/>
      <c r="DF412" s="61"/>
      <c r="DG412" s="61"/>
      <c r="DH412" s="61"/>
      <c r="DI412" s="61"/>
      <c r="DJ412" s="61"/>
      <c r="DK412" s="61"/>
    </row>
    <row r="413" spans="1:115" ht="21" customHeight="1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108"/>
      <c r="N413" s="108"/>
      <c r="O413" s="108"/>
      <c r="P413" s="108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1"/>
      <c r="CL413" s="61"/>
      <c r="CM413" s="61"/>
      <c r="CN413" s="61"/>
      <c r="CO413" s="61"/>
      <c r="CP413" s="61"/>
      <c r="CQ413" s="61"/>
      <c r="CR413" s="61"/>
      <c r="CS413" s="61"/>
      <c r="CT413" s="61"/>
      <c r="CU413" s="61"/>
      <c r="CV413" s="61"/>
      <c r="CW413" s="61"/>
      <c r="CX413" s="61"/>
      <c r="CY413" s="61"/>
      <c r="CZ413" s="61"/>
      <c r="DA413" s="61"/>
      <c r="DB413" s="61"/>
      <c r="DC413" s="61"/>
      <c r="DD413" s="61"/>
      <c r="DE413" s="61"/>
      <c r="DF413" s="61"/>
      <c r="DG413" s="61"/>
      <c r="DH413" s="61"/>
      <c r="DI413" s="61"/>
      <c r="DJ413" s="61"/>
      <c r="DK413" s="61"/>
    </row>
    <row r="414" spans="1:115" ht="21" customHeight="1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108"/>
      <c r="N414" s="108"/>
      <c r="O414" s="108"/>
      <c r="P414" s="108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  <c r="CP414" s="61"/>
      <c r="CQ414" s="61"/>
      <c r="CR414" s="61"/>
      <c r="CS414" s="61"/>
      <c r="CT414" s="61"/>
      <c r="CU414" s="61"/>
      <c r="CV414" s="61"/>
      <c r="CW414" s="61"/>
      <c r="CX414" s="61"/>
      <c r="CY414" s="61"/>
      <c r="CZ414" s="61"/>
      <c r="DA414" s="61"/>
      <c r="DB414" s="61"/>
      <c r="DC414" s="61"/>
      <c r="DD414" s="61"/>
      <c r="DE414" s="61"/>
      <c r="DF414" s="61"/>
      <c r="DG414" s="61"/>
      <c r="DH414" s="61"/>
      <c r="DI414" s="61"/>
      <c r="DJ414" s="61"/>
      <c r="DK414" s="61"/>
    </row>
    <row r="415" spans="1:115" ht="21" customHeight="1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108"/>
      <c r="N415" s="108"/>
      <c r="O415" s="108"/>
      <c r="P415" s="108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1"/>
      <c r="CL415" s="61"/>
      <c r="CM415" s="61"/>
      <c r="CN415" s="61"/>
      <c r="CO415" s="61"/>
      <c r="CP415" s="61"/>
      <c r="CQ415" s="61"/>
      <c r="CR415" s="61"/>
      <c r="CS415" s="61"/>
      <c r="CT415" s="61"/>
      <c r="CU415" s="61"/>
      <c r="CV415" s="61"/>
      <c r="CW415" s="61"/>
      <c r="CX415" s="61"/>
      <c r="CY415" s="61"/>
      <c r="CZ415" s="61"/>
      <c r="DA415" s="61"/>
      <c r="DB415" s="61"/>
      <c r="DC415" s="61"/>
      <c r="DD415" s="61"/>
      <c r="DE415" s="61"/>
      <c r="DF415" s="61"/>
      <c r="DG415" s="61"/>
      <c r="DH415" s="61"/>
      <c r="DI415" s="61"/>
      <c r="DJ415" s="61"/>
      <c r="DK415" s="61"/>
    </row>
    <row r="416" spans="1:115" ht="21" customHeight="1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108"/>
      <c r="N416" s="108"/>
      <c r="O416" s="108"/>
      <c r="P416" s="108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  <c r="CD416" s="61"/>
      <c r="CE416" s="61"/>
      <c r="CF416" s="61"/>
      <c r="CG416" s="61"/>
      <c r="CH416" s="61"/>
      <c r="CI416" s="61"/>
      <c r="CJ416" s="61"/>
      <c r="CK416" s="61"/>
      <c r="CL416" s="61"/>
      <c r="CM416" s="61"/>
      <c r="CN416" s="61"/>
      <c r="CO416" s="61"/>
      <c r="CP416" s="61"/>
      <c r="CQ416" s="61"/>
      <c r="CR416" s="61"/>
      <c r="CS416" s="61"/>
      <c r="CT416" s="61"/>
      <c r="CU416" s="61"/>
      <c r="CV416" s="61"/>
      <c r="CW416" s="61"/>
      <c r="CX416" s="61"/>
      <c r="CY416" s="61"/>
      <c r="CZ416" s="61"/>
      <c r="DA416" s="61"/>
      <c r="DB416" s="61"/>
      <c r="DC416" s="61"/>
      <c r="DD416" s="61"/>
      <c r="DE416" s="61"/>
      <c r="DF416" s="61"/>
      <c r="DG416" s="61"/>
      <c r="DH416" s="61"/>
      <c r="DI416" s="61"/>
      <c r="DJ416" s="61"/>
      <c r="DK416" s="61"/>
    </row>
    <row r="417" spans="1:115" ht="21" customHeight="1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108"/>
      <c r="N417" s="108"/>
      <c r="O417" s="108"/>
      <c r="P417" s="108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1"/>
      <c r="CL417" s="61"/>
      <c r="CM417" s="61"/>
      <c r="CN417" s="61"/>
      <c r="CO417" s="61"/>
      <c r="CP417" s="61"/>
      <c r="CQ417" s="61"/>
      <c r="CR417" s="61"/>
      <c r="CS417" s="61"/>
      <c r="CT417" s="61"/>
      <c r="CU417" s="61"/>
      <c r="CV417" s="61"/>
      <c r="CW417" s="61"/>
      <c r="CX417" s="61"/>
      <c r="CY417" s="61"/>
      <c r="CZ417" s="61"/>
      <c r="DA417" s="61"/>
      <c r="DB417" s="61"/>
      <c r="DC417" s="61"/>
      <c r="DD417" s="61"/>
      <c r="DE417" s="61"/>
      <c r="DF417" s="61"/>
      <c r="DG417" s="61"/>
      <c r="DH417" s="61"/>
      <c r="DI417" s="61"/>
      <c r="DJ417" s="61"/>
      <c r="DK417" s="61"/>
    </row>
    <row r="418" spans="1:115" ht="21" customHeight="1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108"/>
      <c r="N418" s="108"/>
      <c r="O418" s="108"/>
      <c r="P418" s="108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1"/>
      <c r="CL418" s="61"/>
      <c r="CM418" s="61"/>
      <c r="CN418" s="61"/>
      <c r="CO418" s="61"/>
      <c r="CP418" s="61"/>
      <c r="CQ418" s="61"/>
      <c r="CR418" s="61"/>
      <c r="CS418" s="61"/>
      <c r="CT418" s="61"/>
      <c r="CU418" s="61"/>
      <c r="CV418" s="61"/>
      <c r="CW418" s="61"/>
      <c r="CX418" s="61"/>
      <c r="CY418" s="61"/>
      <c r="CZ418" s="61"/>
      <c r="DA418" s="61"/>
      <c r="DB418" s="61"/>
      <c r="DC418" s="61"/>
      <c r="DD418" s="61"/>
      <c r="DE418" s="61"/>
      <c r="DF418" s="61"/>
      <c r="DG418" s="61"/>
      <c r="DH418" s="61"/>
      <c r="DI418" s="61"/>
      <c r="DJ418" s="61"/>
      <c r="DK418" s="61"/>
    </row>
    <row r="419" spans="1:115" ht="21" customHeight="1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108"/>
      <c r="N419" s="108"/>
      <c r="O419" s="108"/>
      <c r="P419" s="108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1"/>
      <c r="CL419" s="61"/>
      <c r="CM419" s="61"/>
      <c r="CN419" s="61"/>
      <c r="CO419" s="61"/>
      <c r="CP419" s="61"/>
      <c r="CQ419" s="61"/>
      <c r="CR419" s="61"/>
      <c r="CS419" s="61"/>
      <c r="CT419" s="61"/>
      <c r="CU419" s="61"/>
      <c r="CV419" s="61"/>
      <c r="CW419" s="61"/>
      <c r="CX419" s="61"/>
      <c r="CY419" s="61"/>
      <c r="CZ419" s="61"/>
      <c r="DA419" s="61"/>
      <c r="DB419" s="61"/>
      <c r="DC419" s="61"/>
      <c r="DD419" s="61"/>
      <c r="DE419" s="61"/>
      <c r="DF419" s="61"/>
      <c r="DG419" s="61"/>
      <c r="DH419" s="61"/>
      <c r="DI419" s="61"/>
      <c r="DJ419" s="61"/>
      <c r="DK419" s="61"/>
    </row>
    <row r="420" spans="1:115" ht="21" customHeight="1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108"/>
      <c r="N420" s="108"/>
      <c r="O420" s="108"/>
      <c r="P420" s="108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1"/>
      <c r="CL420" s="61"/>
      <c r="CM420" s="61"/>
      <c r="CN420" s="61"/>
      <c r="CO420" s="61"/>
      <c r="CP420" s="61"/>
      <c r="CQ420" s="61"/>
      <c r="CR420" s="61"/>
      <c r="CS420" s="61"/>
      <c r="CT420" s="61"/>
      <c r="CU420" s="61"/>
      <c r="CV420" s="61"/>
      <c r="CW420" s="61"/>
      <c r="CX420" s="61"/>
      <c r="CY420" s="61"/>
      <c r="CZ420" s="61"/>
      <c r="DA420" s="61"/>
      <c r="DB420" s="61"/>
      <c r="DC420" s="61"/>
      <c r="DD420" s="61"/>
      <c r="DE420" s="61"/>
      <c r="DF420" s="61"/>
      <c r="DG420" s="61"/>
      <c r="DH420" s="61"/>
      <c r="DI420" s="61"/>
      <c r="DJ420" s="61"/>
      <c r="DK420" s="61"/>
    </row>
    <row r="421" spans="1:115" ht="21" customHeight="1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108"/>
      <c r="N421" s="108"/>
      <c r="O421" s="108"/>
      <c r="P421" s="108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1"/>
      <c r="CK421" s="61"/>
      <c r="CL421" s="61"/>
      <c r="CM421" s="61"/>
      <c r="CN421" s="61"/>
      <c r="CO421" s="61"/>
      <c r="CP421" s="61"/>
      <c r="CQ421" s="61"/>
      <c r="CR421" s="61"/>
      <c r="CS421" s="61"/>
      <c r="CT421" s="61"/>
      <c r="CU421" s="61"/>
      <c r="CV421" s="61"/>
      <c r="CW421" s="61"/>
      <c r="CX421" s="61"/>
      <c r="CY421" s="61"/>
      <c r="CZ421" s="61"/>
      <c r="DA421" s="61"/>
      <c r="DB421" s="61"/>
      <c r="DC421" s="61"/>
      <c r="DD421" s="61"/>
      <c r="DE421" s="61"/>
      <c r="DF421" s="61"/>
      <c r="DG421" s="61"/>
      <c r="DH421" s="61"/>
      <c r="DI421" s="61"/>
      <c r="DJ421" s="61"/>
      <c r="DK421" s="61"/>
    </row>
    <row r="422" spans="1:115" ht="21" customHeight="1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108"/>
      <c r="N422" s="108"/>
      <c r="O422" s="108"/>
      <c r="P422" s="108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  <c r="CN422" s="61"/>
      <c r="CO422" s="61"/>
      <c r="CP422" s="61"/>
      <c r="CQ422" s="61"/>
      <c r="CR422" s="61"/>
      <c r="CS422" s="61"/>
      <c r="CT422" s="61"/>
      <c r="CU422" s="61"/>
      <c r="CV422" s="61"/>
      <c r="CW422" s="61"/>
      <c r="CX422" s="61"/>
      <c r="CY422" s="61"/>
      <c r="CZ422" s="61"/>
      <c r="DA422" s="61"/>
      <c r="DB422" s="61"/>
      <c r="DC422" s="61"/>
      <c r="DD422" s="61"/>
      <c r="DE422" s="61"/>
      <c r="DF422" s="61"/>
      <c r="DG422" s="61"/>
      <c r="DH422" s="61"/>
      <c r="DI422" s="61"/>
      <c r="DJ422" s="61"/>
      <c r="DK422" s="61"/>
    </row>
    <row r="423" spans="1:115" ht="21" customHeight="1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108"/>
      <c r="N423" s="108"/>
      <c r="O423" s="108"/>
      <c r="P423" s="108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  <c r="CN423" s="61"/>
      <c r="CO423" s="61"/>
      <c r="CP423" s="61"/>
      <c r="CQ423" s="61"/>
      <c r="CR423" s="61"/>
      <c r="CS423" s="61"/>
      <c r="CT423" s="61"/>
      <c r="CU423" s="61"/>
      <c r="CV423" s="61"/>
      <c r="CW423" s="61"/>
      <c r="CX423" s="61"/>
      <c r="CY423" s="61"/>
      <c r="CZ423" s="61"/>
      <c r="DA423" s="61"/>
      <c r="DB423" s="61"/>
      <c r="DC423" s="61"/>
      <c r="DD423" s="61"/>
      <c r="DE423" s="61"/>
      <c r="DF423" s="61"/>
      <c r="DG423" s="61"/>
      <c r="DH423" s="61"/>
      <c r="DI423" s="61"/>
      <c r="DJ423" s="61"/>
      <c r="DK423" s="61"/>
    </row>
    <row r="424" spans="1:115" ht="21" customHeight="1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108"/>
      <c r="N424" s="108"/>
      <c r="O424" s="108"/>
      <c r="P424" s="108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  <c r="CN424" s="61"/>
      <c r="CO424" s="61"/>
      <c r="CP424" s="61"/>
      <c r="CQ424" s="61"/>
      <c r="CR424" s="61"/>
      <c r="CS424" s="61"/>
      <c r="CT424" s="61"/>
      <c r="CU424" s="61"/>
      <c r="CV424" s="61"/>
      <c r="CW424" s="61"/>
      <c r="CX424" s="61"/>
      <c r="CY424" s="61"/>
      <c r="CZ424" s="61"/>
      <c r="DA424" s="61"/>
      <c r="DB424" s="61"/>
      <c r="DC424" s="61"/>
      <c r="DD424" s="61"/>
      <c r="DE424" s="61"/>
      <c r="DF424" s="61"/>
      <c r="DG424" s="61"/>
      <c r="DH424" s="61"/>
      <c r="DI424" s="61"/>
      <c r="DJ424" s="61"/>
      <c r="DK424" s="61"/>
    </row>
    <row r="425" spans="1:115" ht="21" customHeight="1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108"/>
      <c r="N425" s="108"/>
      <c r="O425" s="108"/>
      <c r="P425" s="108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  <c r="CN425" s="61"/>
      <c r="CO425" s="61"/>
      <c r="CP425" s="61"/>
      <c r="CQ425" s="61"/>
      <c r="CR425" s="61"/>
      <c r="CS425" s="61"/>
      <c r="CT425" s="61"/>
      <c r="CU425" s="61"/>
      <c r="CV425" s="61"/>
      <c r="CW425" s="61"/>
      <c r="CX425" s="61"/>
      <c r="CY425" s="61"/>
      <c r="CZ425" s="61"/>
      <c r="DA425" s="61"/>
      <c r="DB425" s="61"/>
      <c r="DC425" s="61"/>
      <c r="DD425" s="61"/>
      <c r="DE425" s="61"/>
      <c r="DF425" s="61"/>
      <c r="DG425" s="61"/>
      <c r="DH425" s="61"/>
      <c r="DI425" s="61"/>
      <c r="DJ425" s="61"/>
      <c r="DK425" s="61"/>
    </row>
    <row r="426" spans="1:115" ht="21" customHeight="1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108"/>
      <c r="N426" s="108"/>
      <c r="O426" s="108"/>
      <c r="P426" s="108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  <c r="CN426" s="61"/>
      <c r="CO426" s="61"/>
      <c r="CP426" s="61"/>
      <c r="CQ426" s="61"/>
      <c r="CR426" s="61"/>
      <c r="CS426" s="61"/>
      <c r="CT426" s="61"/>
      <c r="CU426" s="61"/>
      <c r="CV426" s="61"/>
      <c r="CW426" s="61"/>
      <c r="CX426" s="61"/>
      <c r="CY426" s="61"/>
      <c r="CZ426" s="61"/>
      <c r="DA426" s="61"/>
      <c r="DB426" s="61"/>
      <c r="DC426" s="61"/>
      <c r="DD426" s="61"/>
      <c r="DE426" s="61"/>
      <c r="DF426" s="61"/>
      <c r="DG426" s="61"/>
      <c r="DH426" s="61"/>
      <c r="DI426" s="61"/>
      <c r="DJ426" s="61"/>
      <c r="DK426" s="61"/>
    </row>
    <row r="427" spans="1:115" ht="21" customHeight="1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108"/>
      <c r="N427" s="108"/>
      <c r="O427" s="108"/>
      <c r="P427" s="108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  <c r="CN427" s="61"/>
      <c r="CO427" s="61"/>
      <c r="CP427" s="61"/>
      <c r="CQ427" s="61"/>
      <c r="CR427" s="61"/>
      <c r="CS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61"/>
      <c r="DH427" s="61"/>
      <c r="DI427" s="61"/>
      <c r="DJ427" s="61"/>
      <c r="DK427" s="61"/>
    </row>
    <row r="428" spans="1:115" ht="21" customHeight="1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108"/>
      <c r="N428" s="108"/>
      <c r="O428" s="108"/>
      <c r="P428" s="108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  <c r="CN428" s="61"/>
      <c r="CO428" s="61"/>
      <c r="CP428" s="61"/>
      <c r="CQ428" s="61"/>
      <c r="CR428" s="61"/>
      <c r="CS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61"/>
      <c r="DH428" s="61"/>
      <c r="DI428" s="61"/>
      <c r="DJ428" s="61"/>
      <c r="DK428" s="61"/>
    </row>
    <row r="429" spans="1:115" ht="21" customHeight="1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108"/>
      <c r="N429" s="108"/>
      <c r="O429" s="108"/>
      <c r="P429" s="108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  <c r="CN429" s="61"/>
      <c r="CO429" s="61"/>
      <c r="CP429" s="61"/>
      <c r="CQ429" s="61"/>
      <c r="CR429" s="61"/>
      <c r="CS429" s="61"/>
      <c r="CT429" s="61"/>
      <c r="CU429" s="61"/>
      <c r="CV429" s="61"/>
      <c r="CW429" s="61"/>
      <c r="CX429" s="61"/>
      <c r="CY429" s="61"/>
      <c r="CZ429" s="61"/>
      <c r="DA429" s="61"/>
      <c r="DB429" s="61"/>
      <c r="DC429" s="61"/>
      <c r="DD429" s="61"/>
      <c r="DE429" s="61"/>
      <c r="DF429" s="61"/>
      <c r="DG429" s="61"/>
      <c r="DH429" s="61"/>
      <c r="DI429" s="61"/>
      <c r="DJ429" s="61"/>
      <c r="DK429" s="61"/>
    </row>
    <row r="430" spans="1:115" ht="21" customHeight="1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108"/>
      <c r="N430" s="108"/>
      <c r="O430" s="108"/>
      <c r="P430" s="108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  <c r="CN430" s="61"/>
      <c r="CO430" s="61"/>
      <c r="CP430" s="61"/>
      <c r="CQ430" s="61"/>
      <c r="CR430" s="61"/>
      <c r="CS430" s="61"/>
      <c r="CT430" s="61"/>
      <c r="CU430" s="61"/>
      <c r="CV430" s="61"/>
      <c r="CW430" s="61"/>
      <c r="CX430" s="61"/>
      <c r="CY430" s="61"/>
      <c r="CZ430" s="61"/>
      <c r="DA430" s="61"/>
      <c r="DB430" s="61"/>
      <c r="DC430" s="61"/>
      <c r="DD430" s="61"/>
      <c r="DE430" s="61"/>
      <c r="DF430" s="61"/>
      <c r="DG430" s="61"/>
      <c r="DH430" s="61"/>
      <c r="DI430" s="61"/>
      <c r="DJ430" s="61"/>
      <c r="DK430" s="61"/>
    </row>
    <row r="431" spans="1:115" ht="21" customHeight="1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108"/>
      <c r="N431" s="108"/>
      <c r="O431" s="108"/>
      <c r="P431" s="108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1"/>
      <c r="CL431" s="61"/>
      <c r="CM431" s="61"/>
      <c r="CN431" s="61"/>
      <c r="CO431" s="61"/>
      <c r="CP431" s="61"/>
      <c r="CQ431" s="61"/>
      <c r="CR431" s="61"/>
      <c r="CS431" s="61"/>
      <c r="CT431" s="61"/>
      <c r="CU431" s="61"/>
      <c r="CV431" s="61"/>
      <c r="CW431" s="61"/>
      <c r="CX431" s="61"/>
      <c r="CY431" s="61"/>
      <c r="CZ431" s="61"/>
      <c r="DA431" s="61"/>
      <c r="DB431" s="61"/>
      <c r="DC431" s="61"/>
      <c r="DD431" s="61"/>
      <c r="DE431" s="61"/>
      <c r="DF431" s="61"/>
      <c r="DG431" s="61"/>
      <c r="DH431" s="61"/>
      <c r="DI431" s="61"/>
      <c r="DJ431" s="61"/>
      <c r="DK431" s="61"/>
    </row>
    <row r="432" spans="1:115" ht="21" customHeight="1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108"/>
      <c r="N432" s="108"/>
      <c r="O432" s="108"/>
      <c r="P432" s="108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  <c r="CN432" s="61"/>
      <c r="CO432" s="61"/>
      <c r="CP432" s="61"/>
      <c r="CQ432" s="61"/>
      <c r="CR432" s="61"/>
      <c r="CS432" s="61"/>
      <c r="CT432" s="61"/>
      <c r="CU432" s="61"/>
      <c r="CV432" s="61"/>
      <c r="CW432" s="61"/>
      <c r="CX432" s="61"/>
      <c r="CY432" s="61"/>
      <c r="CZ432" s="61"/>
      <c r="DA432" s="61"/>
      <c r="DB432" s="61"/>
      <c r="DC432" s="61"/>
      <c r="DD432" s="61"/>
      <c r="DE432" s="61"/>
      <c r="DF432" s="61"/>
      <c r="DG432" s="61"/>
      <c r="DH432" s="61"/>
      <c r="DI432" s="61"/>
      <c r="DJ432" s="61"/>
      <c r="DK432" s="61"/>
    </row>
    <row r="433" spans="1:115" ht="21" customHeight="1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108"/>
      <c r="N433" s="108"/>
      <c r="O433" s="108"/>
      <c r="P433" s="108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  <c r="CN433" s="61"/>
      <c r="CO433" s="61"/>
      <c r="CP433" s="61"/>
      <c r="CQ433" s="61"/>
      <c r="CR433" s="61"/>
      <c r="CS433" s="61"/>
      <c r="CT433" s="61"/>
      <c r="CU433" s="61"/>
      <c r="CV433" s="61"/>
      <c r="CW433" s="61"/>
      <c r="CX433" s="61"/>
      <c r="CY433" s="61"/>
      <c r="CZ433" s="61"/>
      <c r="DA433" s="61"/>
      <c r="DB433" s="61"/>
      <c r="DC433" s="61"/>
      <c r="DD433" s="61"/>
      <c r="DE433" s="61"/>
      <c r="DF433" s="61"/>
      <c r="DG433" s="61"/>
      <c r="DH433" s="61"/>
      <c r="DI433" s="61"/>
      <c r="DJ433" s="61"/>
      <c r="DK433" s="61"/>
    </row>
    <row r="434" spans="1:115" ht="21" customHeight="1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108"/>
      <c r="N434" s="108"/>
      <c r="O434" s="108"/>
      <c r="P434" s="108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  <c r="CN434" s="61"/>
      <c r="CO434" s="61"/>
      <c r="CP434" s="61"/>
      <c r="CQ434" s="61"/>
      <c r="CR434" s="61"/>
      <c r="CS434" s="61"/>
      <c r="CT434" s="61"/>
      <c r="CU434" s="61"/>
      <c r="CV434" s="61"/>
      <c r="CW434" s="61"/>
      <c r="CX434" s="61"/>
      <c r="CY434" s="61"/>
      <c r="CZ434" s="61"/>
      <c r="DA434" s="61"/>
      <c r="DB434" s="61"/>
      <c r="DC434" s="61"/>
      <c r="DD434" s="61"/>
      <c r="DE434" s="61"/>
      <c r="DF434" s="61"/>
      <c r="DG434" s="61"/>
      <c r="DH434" s="61"/>
      <c r="DI434" s="61"/>
      <c r="DJ434" s="61"/>
      <c r="DK434" s="61"/>
    </row>
    <row r="435" spans="1:115" ht="21" customHeight="1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108"/>
      <c r="N435" s="108"/>
      <c r="O435" s="108"/>
      <c r="P435" s="108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  <c r="CN435" s="61"/>
      <c r="CO435" s="61"/>
      <c r="CP435" s="61"/>
      <c r="CQ435" s="61"/>
      <c r="CR435" s="61"/>
      <c r="CS435" s="61"/>
      <c r="CT435" s="61"/>
      <c r="CU435" s="61"/>
      <c r="CV435" s="61"/>
      <c r="CW435" s="61"/>
      <c r="CX435" s="61"/>
      <c r="CY435" s="61"/>
      <c r="CZ435" s="61"/>
      <c r="DA435" s="61"/>
      <c r="DB435" s="61"/>
      <c r="DC435" s="61"/>
      <c r="DD435" s="61"/>
      <c r="DE435" s="61"/>
      <c r="DF435" s="61"/>
      <c r="DG435" s="61"/>
      <c r="DH435" s="61"/>
      <c r="DI435" s="61"/>
      <c r="DJ435" s="61"/>
      <c r="DK435" s="61"/>
    </row>
    <row r="436" spans="1:115" ht="21" customHeight="1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108"/>
      <c r="N436" s="108"/>
      <c r="O436" s="108"/>
      <c r="P436" s="108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  <c r="CN436" s="61"/>
      <c r="CO436" s="61"/>
      <c r="CP436" s="61"/>
      <c r="CQ436" s="61"/>
      <c r="CR436" s="61"/>
      <c r="CS436" s="61"/>
      <c r="CT436" s="61"/>
      <c r="CU436" s="61"/>
      <c r="CV436" s="61"/>
      <c r="CW436" s="61"/>
      <c r="CX436" s="61"/>
      <c r="CY436" s="61"/>
      <c r="CZ436" s="61"/>
      <c r="DA436" s="61"/>
      <c r="DB436" s="61"/>
      <c r="DC436" s="61"/>
      <c r="DD436" s="61"/>
      <c r="DE436" s="61"/>
      <c r="DF436" s="61"/>
      <c r="DG436" s="61"/>
      <c r="DH436" s="61"/>
      <c r="DI436" s="61"/>
      <c r="DJ436" s="61"/>
      <c r="DK436" s="61"/>
    </row>
    <row r="437" spans="1:115" ht="21" customHeight="1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108"/>
      <c r="N437" s="108"/>
      <c r="O437" s="108"/>
      <c r="P437" s="108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  <c r="CN437" s="61"/>
      <c r="CO437" s="61"/>
      <c r="CP437" s="61"/>
      <c r="CQ437" s="61"/>
      <c r="CR437" s="61"/>
      <c r="CS437" s="61"/>
      <c r="CT437" s="61"/>
      <c r="CU437" s="61"/>
      <c r="CV437" s="61"/>
      <c r="CW437" s="61"/>
      <c r="CX437" s="61"/>
      <c r="CY437" s="61"/>
      <c r="CZ437" s="61"/>
      <c r="DA437" s="61"/>
      <c r="DB437" s="61"/>
      <c r="DC437" s="61"/>
      <c r="DD437" s="61"/>
      <c r="DE437" s="61"/>
      <c r="DF437" s="61"/>
      <c r="DG437" s="61"/>
      <c r="DH437" s="61"/>
      <c r="DI437" s="61"/>
      <c r="DJ437" s="61"/>
      <c r="DK437" s="61"/>
    </row>
    <row r="438" spans="1:115" ht="21" customHeight="1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108"/>
      <c r="N438" s="108"/>
      <c r="O438" s="108"/>
      <c r="P438" s="108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  <c r="CN438" s="61"/>
      <c r="CO438" s="61"/>
      <c r="CP438" s="61"/>
      <c r="CQ438" s="61"/>
      <c r="CR438" s="61"/>
      <c r="CS438" s="61"/>
      <c r="CT438" s="61"/>
      <c r="CU438" s="61"/>
      <c r="CV438" s="61"/>
      <c r="CW438" s="61"/>
      <c r="CX438" s="61"/>
      <c r="CY438" s="61"/>
      <c r="CZ438" s="61"/>
      <c r="DA438" s="61"/>
      <c r="DB438" s="61"/>
      <c r="DC438" s="61"/>
      <c r="DD438" s="61"/>
      <c r="DE438" s="61"/>
      <c r="DF438" s="61"/>
      <c r="DG438" s="61"/>
      <c r="DH438" s="61"/>
      <c r="DI438" s="61"/>
      <c r="DJ438" s="61"/>
      <c r="DK438" s="61"/>
    </row>
    <row r="439" spans="1:115" ht="21" customHeight="1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108"/>
      <c r="N439" s="108"/>
      <c r="O439" s="108"/>
      <c r="P439" s="108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  <c r="CN439" s="61"/>
      <c r="CO439" s="61"/>
      <c r="CP439" s="61"/>
      <c r="CQ439" s="61"/>
      <c r="CR439" s="61"/>
      <c r="CS439" s="61"/>
      <c r="CT439" s="61"/>
      <c r="CU439" s="61"/>
      <c r="CV439" s="61"/>
      <c r="CW439" s="61"/>
      <c r="CX439" s="61"/>
      <c r="CY439" s="61"/>
      <c r="CZ439" s="61"/>
      <c r="DA439" s="61"/>
      <c r="DB439" s="61"/>
      <c r="DC439" s="61"/>
      <c r="DD439" s="61"/>
      <c r="DE439" s="61"/>
      <c r="DF439" s="61"/>
      <c r="DG439" s="61"/>
      <c r="DH439" s="61"/>
      <c r="DI439" s="61"/>
      <c r="DJ439" s="61"/>
      <c r="DK439" s="61"/>
    </row>
    <row r="440" spans="1:115" ht="21" customHeight="1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108"/>
      <c r="N440" s="108"/>
      <c r="O440" s="108"/>
      <c r="P440" s="108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  <c r="CN440" s="61"/>
      <c r="CO440" s="61"/>
      <c r="CP440" s="61"/>
      <c r="CQ440" s="61"/>
      <c r="CR440" s="61"/>
      <c r="CS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61"/>
      <c r="DH440" s="61"/>
      <c r="DI440" s="61"/>
      <c r="DJ440" s="61"/>
      <c r="DK440" s="61"/>
    </row>
    <row r="441" spans="1:115" ht="21" customHeight="1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108"/>
      <c r="N441" s="108"/>
      <c r="O441" s="108"/>
      <c r="P441" s="108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  <c r="CM441" s="61"/>
      <c r="CN441" s="61"/>
      <c r="CO441" s="61"/>
      <c r="CP441" s="61"/>
      <c r="CQ441" s="61"/>
      <c r="CR441" s="61"/>
      <c r="CS441" s="61"/>
      <c r="CT441" s="61"/>
      <c r="CU441" s="61"/>
      <c r="CV441" s="61"/>
      <c r="CW441" s="61"/>
      <c r="CX441" s="61"/>
      <c r="CY441" s="61"/>
      <c r="CZ441" s="61"/>
      <c r="DA441" s="61"/>
      <c r="DB441" s="61"/>
      <c r="DC441" s="61"/>
      <c r="DD441" s="61"/>
      <c r="DE441" s="61"/>
      <c r="DF441" s="61"/>
      <c r="DG441" s="61"/>
      <c r="DH441" s="61"/>
      <c r="DI441" s="61"/>
      <c r="DJ441" s="61"/>
      <c r="DK441" s="61"/>
    </row>
    <row r="442" spans="1:115" ht="21" customHeight="1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108"/>
      <c r="N442" s="108"/>
      <c r="O442" s="108"/>
      <c r="P442" s="108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1"/>
      <c r="CL442" s="61"/>
      <c r="CM442" s="61"/>
      <c r="CN442" s="61"/>
      <c r="CO442" s="61"/>
      <c r="CP442" s="61"/>
      <c r="CQ442" s="61"/>
      <c r="CR442" s="61"/>
      <c r="CS442" s="61"/>
      <c r="CT442" s="61"/>
      <c r="CU442" s="61"/>
      <c r="CV442" s="61"/>
      <c r="CW442" s="61"/>
      <c r="CX442" s="61"/>
      <c r="CY442" s="61"/>
      <c r="CZ442" s="61"/>
      <c r="DA442" s="61"/>
      <c r="DB442" s="61"/>
      <c r="DC442" s="61"/>
      <c r="DD442" s="61"/>
      <c r="DE442" s="61"/>
      <c r="DF442" s="61"/>
      <c r="DG442" s="61"/>
      <c r="DH442" s="61"/>
      <c r="DI442" s="61"/>
      <c r="DJ442" s="61"/>
      <c r="DK442" s="61"/>
    </row>
    <row r="443" spans="1:115" ht="21" customHeight="1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108"/>
      <c r="N443" s="108"/>
      <c r="O443" s="108"/>
      <c r="P443" s="108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1"/>
      <c r="CL443" s="61"/>
      <c r="CM443" s="61"/>
      <c r="CN443" s="61"/>
      <c r="CO443" s="61"/>
      <c r="CP443" s="61"/>
      <c r="CQ443" s="61"/>
      <c r="CR443" s="61"/>
      <c r="CS443" s="61"/>
      <c r="CT443" s="61"/>
      <c r="CU443" s="61"/>
      <c r="CV443" s="61"/>
      <c r="CW443" s="61"/>
      <c r="CX443" s="61"/>
      <c r="CY443" s="61"/>
      <c r="CZ443" s="61"/>
      <c r="DA443" s="61"/>
      <c r="DB443" s="61"/>
      <c r="DC443" s="61"/>
      <c r="DD443" s="61"/>
      <c r="DE443" s="61"/>
      <c r="DF443" s="61"/>
      <c r="DG443" s="61"/>
      <c r="DH443" s="61"/>
      <c r="DI443" s="61"/>
      <c r="DJ443" s="61"/>
      <c r="DK443" s="61"/>
    </row>
    <row r="444" spans="1:115" ht="21" customHeight="1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108"/>
      <c r="N444" s="108"/>
      <c r="O444" s="108"/>
      <c r="P444" s="108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1"/>
      <c r="CK444" s="61"/>
      <c r="CL444" s="61"/>
      <c r="CM444" s="61"/>
      <c r="CN444" s="61"/>
      <c r="CO444" s="61"/>
      <c r="CP444" s="61"/>
      <c r="CQ444" s="61"/>
      <c r="CR444" s="61"/>
      <c r="CS444" s="61"/>
      <c r="CT444" s="61"/>
      <c r="CU444" s="61"/>
      <c r="CV444" s="61"/>
      <c r="CW444" s="61"/>
      <c r="CX444" s="61"/>
      <c r="CY444" s="61"/>
      <c r="CZ444" s="61"/>
      <c r="DA444" s="61"/>
      <c r="DB444" s="61"/>
      <c r="DC444" s="61"/>
      <c r="DD444" s="61"/>
      <c r="DE444" s="61"/>
      <c r="DF444" s="61"/>
      <c r="DG444" s="61"/>
      <c r="DH444" s="61"/>
      <c r="DI444" s="61"/>
      <c r="DJ444" s="61"/>
      <c r="DK444" s="61"/>
    </row>
    <row r="445" spans="1:115" ht="21" customHeight="1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108"/>
      <c r="N445" s="108"/>
      <c r="O445" s="108"/>
      <c r="P445" s="108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  <c r="CN445" s="61"/>
      <c r="CO445" s="61"/>
      <c r="CP445" s="61"/>
      <c r="CQ445" s="61"/>
      <c r="CR445" s="61"/>
      <c r="CS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61"/>
      <c r="DH445" s="61"/>
      <c r="DI445" s="61"/>
      <c r="DJ445" s="61"/>
      <c r="DK445" s="61"/>
    </row>
    <row r="446" spans="1:115" ht="21" customHeight="1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108"/>
      <c r="N446" s="108"/>
      <c r="O446" s="108"/>
      <c r="P446" s="108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1"/>
      <c r="CL446" s="61"/>
      <c r="CM446" s="61"/>
      <c r="CN446" s="61"/>
      <c r="CO446" s="61"/>
      <c r="CP446" s="61"/>
      <c r="CQ446" s="61"/>
      <c r="CR446" s="61"/>
      <c r="CS446" s="61"/>
      <c r="CT446" s="61"/>
      <c r="CU446" s="61"/>
      <c r="CV446" s="61"/>
      <c r="CW446" s="61"/>
      <c r="CX446" s="61"/>
      <c r="CY446" s="61"/>
      <c r="CZ446" s="61"/>
      <c r="DA446" s="61"/>
      <c r="DB446" s="61"/>
      <c r="DC446" s="61"/>
      <c r="DD446" s="61"/>
      <c r="DE446" s="61"/>
      <c r="DF446" s="61"/>
      <c r="DG446" s="61"/>
      <c r="DH446" s="61"/>
      <c r="DI446" s="61"/>
      <c r="DJ446" s="61"/>
      <c r="DK446" s="61"/>
    </row>
    <row r="447" spans="1:115" ht="21" customHeight="1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108"/>
      <c r="N447" s="108"/>
      <c r="O447" s="108"/>
      <c r="P447" s="108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1"/>
      <c r="CL447" s="61"/>
      <c r="CM447" s="61"/>
      <c r="CN447" s="61"/>
      <c r="CO447" s="61"/>
      <c r="CP447" s="61"/>
      <c r="CQ447" s="61"/>
      <c r="CR447" s="61"/>
      <c r="CS447" s="61"/>
      <c r="CT447" s="61"/>
      <c r="CU447" s="61"/>
      <c r="CV447" s="61"/>
      <c r="CW447" s="61"/>
      <c r="CX447" s="61"/>
      <c r="CY447" s="61"/>
      <c r="CZ447" s="61"/>
      <c r="DA447" s="61"/>
      <c r="DB447" s="61"/>
      <c r="DC447" s="61"/>
      <c r="DD447" s="61"/>
      <c r="DE447" s="61"/>
      <c r="DF447" s="61"/>
      <c r="DG447" s="61"/>
      <c r="DH447" s="61"/>
      <c r="DI447" s="61"/>
      <c r="DJ447" s="61"/>
      <c r="DK447" s="61"/>
    </row>
    <row r="448" spans="1:115" ht="21" customHeight="1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108"/>
      <c r="N448" s="108"/>
      <c r="O448" s="108"/>
      <c r="P448" s="108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  <c r="CN448" s="61"/>
      <c r="CO448" s="61"/>
      <c r="CP448" s="61"/>
      <c r="CQ448" s="61"/>
      <c r="CR448" s="61"/>
      <c r="CS448" s="61"/>
      <c r="CT448" s="61"/>
      <c r="CU448" s="61"/>
      <c r="CV448" s="61"/>
      <c r="CW448" s="61"/>
      <c r="CX448" s="61"/>
      <c r="CY448" s="61"/>
      <c r="CZ448" s="61"/>
      <c r="DA448" s="61"/>
      <c r="DB448" s="61"/>
      <c r="DC448" s="61"/>
      <c r="DD448" s="61"/>
      <c r="DE448" s="61"/>
      <c r="DF448" s="61"/>
      <c r="DG448" s="61"/>
      <c r="DH448" s="61"/>
      <c r="DI448" s="61"/>
      <c r="DJ448" s="61"/>
      <c r="DK448" s="61"/>
    </row>
    <row r="449" spans="1:115" ht="21" customHeight="1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108"/>
      <c r="N449" s="108"/>
      <c r="O449" s="108"/>
      <c r="P449" s="108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1"/>
      <c r="CL449" s="61"/>
      <c r="CM449" s="61"/>
      <c r="CN449" s="61"/>
      <c r="CO449" s="61"/>
      <c r="CP449" s="61"/>
      <c r="CQ449" s="61"/>
      <c r="CR449" s="61"/>
      <c r="CS449" s="61"/>
      <c r="CT449" s="61"/>
      <c r="CU449" s="61"/>
      <c r="CV449" s="61"/>
      <c r="CW449" s="61"/>
      <c r="CX449" s="61"/>
      <c r="CY449" s="61"/>
      <c r="CZ449" s="61"/>
      <c r="DA449" s="61"/>
      <c r="DB449" s="61"/>
      <c r="DC449" s="61"/>
      <c r="DD449" s="61"/>
      <c r="DE449" s="61"/>
      <c r="DF449" s="61"/>
      <c r="DG449" s="61"/>
      <c r="DH449" s="61"/>
      <c r="DI449" s="61"/>
      <c r="DJ449" s="61"/>
      <c r="DK449" s="61"/>
    </row>
    <row r="450" spans="1:115" ht="21" customHeight="1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108"/>
      <c r="N450" s="108"/>
      <c r="O450" s="108"/>
      <c r="P450" s="108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1"/>
      <c r="CL450" s="61"/>
      <c r="CM450" s="61"/>
      <c r="CN450" s="61"/>
      <c r="CO450" s="61"/>
      <c r="CP450" s="61"/>
      <c r="CQ450" s="61"/>
      <c r="CR450" s="61"/>
      <c r="CS450" s="61"/>
      <c r="CT450" s="61"/>
      <c r="CU450" s="61"/>
      <c r="CV450" s="61"/>
      <c r="CW450" s="61"/>
      <c r="CX450" s="61"/>
      <c r="CY450" s="61"/>
      <c r="CZ450" s="61"/>
      <c r="DA450" s="61"/>
      <c r="DB450" s="61"/>
      <c r="DC450" s="61"/>
      <c r="DD450" s="61"/>
      <c r="DE450" s="61"/>
      <c r="DF450" s="61"/>
      <c r="DG450" s="61"/>
      <c r="DH450" s="61"/>
      <c r="DI450" s="61"/>
      <c r="DJ450" s="61"/>
      <c r="DK450" s="61"/>
    </row>
    <row r="451" spans="1:115" ht="21" customHeight="1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108"/>
      <c r="N451" s="108"/>
      <c r="O451" s="108"/>
      <c r="P451" s="108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1"/>
      <c r="CL451" s="61"/>
      <c r="CM451" s="61"/>
      <c r="CN451" s="61"/>
      <c r="CO451" s="61"/>
      <c r="CP451" s="61"/>
      <c r="CQ451" s="61"/>
      <c r="CR451" s="61"/>
      <c r="CS451" s="61"/>
      <c r="CT451" s="61"/>
      <c r="CU451" s="61"/>
      <c r="CV451" s="61"/>
      <c r="CW451" s="61"/>
      <c r="CX451" s="61"/>
      <c r="CY451" s="61"/>
      <c r="CZ451" s="61"/>
      <c r="DA451" s="61"/>
      <c r="DB451" s="61"/>
      <c r="DC451" s="61"/>
      <c r="DD451" s="61"/>
      <c r="DE451" s="61"/>
      <c r="DF451" s="61"/>
      <c r="DG451" s="61"/>
      <c r="DH451" s="61"/>
      <c r="DI451" s="61"/>
      <c r="DJ451" s="61"/>
      <c r="DK451" s="61"/>
    </row>
    <row r="452" spans="1:115" ht="21" customHeight="1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108"/>
      <c r="N452" s="108"/>
      <c r="O452" s="108"/>
      <c r="P452" s="108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1"/>
      <c r="CL452" s="61"/>
      <c r="CM452" s="61"/>
      <c r="CN452" s="61"/>
      <c r="CO452" s="61"/>
      <c r="CP452" s="61"/>
      <c r="CQ452" s="61"/>
      <c r="CR452" s="61"/>
      <c r="CS452" s="61"/>
      <c r="CT452" s="61"/>
      <c r="CU452" s="61"/>
      <c r="CV452" s="61"/>
      <c r="CW452" s="61"/>
      <c r="CX452" s="61"/>
      <c r="CY452" s="61"/>
      <c r="CZ452" s="61"/>
      <c r="DA452" s="61"/>
      <c r="DB452" s="61"/>
      <c r="DC452" s="61"/>
      <c r="DD452" s="61"/>
      <c r="DE452" s="61"/>
      <c r="DF452" s="61"/>
      <c r="DG452" s="61"/>
      <c r="DH452" s="61"/>
      <c r="DI452" s="61"/>
      <c r="DJ452" s="61"/>
      <c r="DK452" s="61"/>
    </row>
    <row r="453" spans="1:115" ht="21" customHeight="1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108"/>
      <c r="N453" s="108"/>
      <c r="O453" s="108"/>
      <c r="P453" s="108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1"/>
      <c r="CL453" s="61"/>
      <c r="CM453" s="61"/>
      <c r="CN453" s="61"/>
      <c r="CO453" s="61"/>
      <c r="CP453" s="61"/>
      <c r="CQ453" s="61"/>
      <c r="CR453" s="61"/>
      <c r="CS453" s="61"/>
      <c r="CT453" s="61"/>
      <c r="CU453" s="61"/>
      <c r="CV453" s="61"/>
      <c r="CW453" s="61"/>
      <c r="CX453" s="61"/>
      <c r="CY453" s="61"/>
      <c r="CZ453" s="61"/>
      <c r="DA453" s="61"/>
      <c r="DB453" s="61"/>
      <c r="DC453" s="61"/>
      <c r="DD453" s="61"/>
      <c r="DE453" s="61"/>
      <c r="DF453" s="61"/>
      <c r="DG453" s="61"/>
      <c r="DH453" s="61"/>
      <c r="DI453" s="61"/>
      <c r="DJ453" s="61"/>
      <c r="DK453" s="61"/>
    </row>
    <row r="454" spans="1:115" ht="21" customHeight="1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108"/>
      <c r="N454" s="108"/>
      <c r="O454" s="108"/>
      <c r="P454" s="108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1"/>
      <c r="CL454" s="61"/>
      <c r="CM454" s="61"/>
      <c r="CN454" s="61"/>
      <c r="CO454" s="61"/>
      <c r="CP454" s="61"/>
      <c r="CQ454" s="61"/>
      <c r="CR454" s="61"/>
      <c r="CS454" s="61"/>
      <c r="CT454" s="61"/>
      <c r="CU454" s="61"/>
      <c r="CV454" s="61"/>
      <c r="CW454" s="61"/>
      <c r="CX454" s="61"/>
      <c r="CY454" s="61"/>
      <c r="CZ454" s="61"/>
      <c r="DA454" s="61"/>
      <c r="DB454" s="61"/>
      <c r="DC454" s="61"/>
      <c r="DD454" s="61"/>
      <c r="DE454" s="61"/>
      <c r="DF454" s="61"/>
      <c r="DG454" s="61"/>
      <c r="DH454" s="61"/>
      <c r="DI454" s="61"/>
      <c r="DJ454" s="61"/>
      <c r="DK454" s="61"/>
    </row>
    <row r="455" spans="1:115" ht="21" customHeight="1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108"/>
      <c r="N455" s="108"/>
      <c r="O455" s="108"/>
      <c r="P455" s="108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1"/>
      <c r="CL455" s="61"/>
      <c r="CM455" s="61"/>
      <c r="CN455" s="61"/>
      <c r="CO455" s="61"/>
      <c r="CP455" s="61"/>
      <c r="CQ455" s="61"/>
      <c r="CR455" s="61"/>
      <c r="CS455" s="61"/>
      <c r="CT455" s="61"/>
      <c r="CU455" s="61"/>
      <c r="CV455" s="61"/>
      <c r="CW455" s="61"/>
      <c r="CX455" s="61"/>
      <c r="CY455" s="61"/>
      <c r="CZ455" s="61"/>
      <c r="DA455" s="61"/>
      <c r="DB455" s="61"/>
      <c r="DC455" s="61"/>
      <c r="DD455" s="61"/>
      <c r="DE455" s="61"/>
      <c r="DF455" s="61"/>
      <c r="DG455" s="61"/>
      <c r="DH455" s="61"/>
      <c r="DI455" s="61"/>
      <c r="DJ455" s="61"/>
      <c r="DK455" s="61"/>
    </row>
    <row r="456" spans="1:115" ht="21" customHeight="1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108"/>
      <c r="N456" s="108"/>
      <c r="O456" s="108"/>
      <c r="P456" s="108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1"/>
      <c r="CL456" s="61"/>
      <c r="CM456" s="61"/>
      <c r="CN456" s="61"/>
      <c r="CO456" s="61"/>
      <c r="CP456" s="61"/>
      <c r="CQ456" s="61"/>
      <c r="CR456" s="61"/>
      <c r="CS456" s="61"/>
      <c r="CT456" s="61"/>
      <c r="CU456" s="61"/>
      <c r="CV456" s="61"/>
      <c r="CW456" s="61"/>
      <c r="CX456" s="61"/>
      <c r="CY456" s="61"/>
      <c r="CZ456" s="61"/>
      <c r="DA456" s="61"/>
      <c r="DB456" s="61"/>
      <c r="DC456" s="61"/>
      <c r="DD456" s="61"/>
      <c r="DE456" s="61"/>
      <c r="DF456" s="61"/>
      <c r="DG456" s="61"/>
      <c r="DH456" s="61"/>
      <c r="DI456" s="61"/>
      <c r="DJ456" s="61"/>
      <c r="DK456" s="61"/>
    </row>
    <row r="457" spans="1:115" ht="21" customHeight="1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108"/>
      <c r="N457" s="108"/>
      <c r="O457" s="108"/>
      <c r="P457" s="108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1"/>
      <c r="CL457" s="61"/>
      <c r="CM457" s="61"/>
      <c r="CN457" s="61"/>
      <c r="CO457" s="61"/>
      <c r="CP457" s="61"/>
      <c r="CQ457" s="61"/>
      <c r="CR457" s="61"/>
      <c r="CS457" s="61"/>
      <c r="CT457" s="61"/>
      <c r="CU457" s="61"/>
      <c r="CV457" s="61"/>
      <c r="CW457" s="61"/>
      <c r="CX457" s="61"/>
      <c r="CY457" s="61"/>
      <c r="CZ457" s="61"/>
      <c r="DA457" s="61"/>
      <c r="DB457" s="61"/>
      <c r="DC457" s="61"/>
      <c r="DD457" s="61"/>
      <c r="DE457" s="61"/>
      <c r="DF457" s="61"/>
      <c r="DG457" s="61"/>
      <c r="DH457" s="61"/>
      <c r="DI457" s="61"/>
      <c r="DJ457" s="61"/>
      <c r="DK457" s="61"/>
    </row>
    <row r="458" spans="1:115" ht="21" customHeight="1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108"/>
      <c r="N458" s="108"/>
      <c r="O458" s="108"/>
      <c r="P458" s="108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1"/>
      <c r="CL458" s="61"/>
      <c r="CM458" s="61"/>
      <c r="CN458" s="61"/>
      <c r="CO458" s="61"/>
      <c r="CP458" s="61"/>
      <c r="CQ458" s="61"/>
      <c r="CR458" s="61"/>
      <c r="CS458" s="61"/>
      <c r="CT458" s="61"/>
      <c r="CU458" s="61"/>
      <c r="CV458" s="61"/>
      <c r="CW458" s="61"/>
      <c r="CX458" s="61"/>
      <c r="CY458" s="61"/>
      <c r="CZ458" s="61"/>
      <c r="DA458" s="61"/>
      <c r="DB458" s="61"/>
      <c r="DC458" s="61"/>
      <c r="DD458" s="61"/>
      <c r="DE458" s="61"/>
      <c r="DF458" s="61"/>
      <c r="DG458" s="61"/>
      <c r="DH458" s="61"/>
      <c r="DI458" s="61"/>
      <c r="DJ458" s="61"/>
      <c r="DK458" s="61"/>
    </row>
    <row r="459" spans="1:115" ht="21" customHeight="1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108"/>
      <c r="N459" s="108"/>
      <c r="O459" s="108"/>
      <c r="P459" s="108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1"/>
      <c r="CL459" s="61"/>
      <c r="CM459" s="61"/>
      <c r="CN459" s="61"/>
      <c r="CO459" s="61"/>
      <c r="CP459" s="61"/>
      <c r="CQ459" s="61"/>
      <c r="CR459" s="61"/>
      <c r="CS459" s="61"/>
      <c r="CT459" s="61"/>
      <c r="CU459" s="61"/>
      <c r="CV459" s="61"/>
      <c r="CW459" s="61"/>
      <c r="CX459" s="61"/>
      <c r="CY459" s="61"/>
      <c r="CZ459" s="61"/>
      <c r="DA459" s="61"/>
      <c r="DB459" s="61"/>
      <c r="DC459" s="61"/>
      <c r="DD459" s="61"/>
      <c r="DE459" s="61"/>
      <c r="DF459" s="61"/>
      <c r="DG459" s="61"/>
      <c r="DH459" s="61"/>
      <c r="DI459" s="61"/>
      <c r="DJ459" s="61"/>
      <c r="DK459" s="61"/>
    </row>
    <row r="460" spans="1:115" ht="21" customHeight="1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108"/>
      <c r="N460" s="108"/>
      <c r="O460" s="108"/>
      <c r="P460" s="108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1"/>
      <c r="CL460" s="61"/>
      <c r="CM460" s="61"/>
      <c r="CN460" s="61"/>
      <c r="CO460" s="61"/>
      <c r="CP460" s="61"/>
      <c r="CQ460" s="61"/>
      <c r="CR460" s="61"/>
      <c r="CS460" s="61"/>
      <c r="CT460" s="61"/>
      <c r="CU460" s="61"/>
      <c r="CV460" s="61"/>
      <c r="CW460" s="61"/>
      <c r="CX460" s="61"/>
      <c r="CY460" s="61"/>
      <c r="CZ460" s="61"/>
      <c r="DA460" s="61"/>
      <c r="DB460" s="61"/>
      <c r="DC460" s="61"/>
      <c r="DD460" s="61"/>
      <c r="DE460" s="61"/>
      <c r="DF460" s="61"/>
      <c r="DG460" s="61"/>
      <c r="DH460" s="61"/>
      <c r="DI460" s="61"/>
      <c r="DJ460" s="61"/>
      <c r="DK460" s="61"/>
    </row>
    <row r="461" spans="1:115" ht="21" customHeight="1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108"/>
      <c r="N461" s="108"/>
      <c r="O461" s="108"/>
      <c r="P461" s="108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1"/>
      <c r="CL461" s="61"/>
      <c r="CM461" s="61"/>
      <c r="CN461" s="61"/>
      <c r="CO461" s="61"/>
      <c r="CP461" s="61"/>
      <c r="CQ461" s="61"/>
      <c r="CR461" s="61"/>
      <c r="CS461" s="61"/>
      <c r="CT461" s="61"/>
      <c r="CU461" s="61"/>
      <c r="CV461" s="61"/>
      <c r="CW461" s="61"/>
      <c r="CX461" s="61"/>
      <c r="CY461" s="61"/>
      <c r="CZ461" s="61"/>
      <c r="DA461" s="61"/>
      <c r="DB461" s="61"/>
      <c r="DC461" s="61"/>
      <c r="DD461" s="61"/>
      <c r="DE461" s="61"/>
      <c r="DF461" s="61"/>
      <c r="DG461" s="61"/>
      <c r="DH461" s="61"/>
      <c r="DI461" s="61"/>
      <c r="DJ461" s="61"/>
      <c r="DK461" s="61"/>
    </row>
    <row r="462" spans="1:115" ht="21" customHeight="1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108"/>
      <c r="N462" s="108"/>
      <c r="O462" s="108"/>
      <c r="P462" s="108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1"/>
      <c r="CK462" s="61"/>
      <c r="CL462" s="61"/>
      <c r="CM462" s="61"/>
      <c r="CN462" s="61"/>
      <c r="CO462" s="61"/>
      <c r="CP462" s="61"/>
      <c r="CQ462" s="61"/>
      <c r="CR462" s="61"/>
      <c r="CS462" s="61"/>
      <c r="CT462" s="61"/>
      <c r="CU462" s="61"/>
      <c r="CV462" s="61"/>
      <c r="CW462" s="61"/>
      <c r="CX462" s="61"/>
      <c r="CY462" s="61"/>
      <c r="CZ462" s="61"/>
      <c r="DA462" s="61"/>
      <c r="DB462" s="61"/>
      <c r="DC462" s="61"/>
      <c r="DD462" s="61"/>
      <c r="DE462" s="61"/>
      <c r="DF462" s="61"/>
      <c r="DG462" s="61"/>
      <c r="DH462" s="61"/>
      <c r="DI462" s="61"/>
      <c r="DJ462" s="61"/>
      <c r="DK462" s="61"/>
    </row>
    <row r="463" spans="1:115" ht="21" customHeight="1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108"/>
      <c r="N463" s="108"/>
      <c r="O463" s="108"/>
      <c r="P463" s="108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1"/>
      <c r="CL463" s="61"/>
      <c r="CM463" s="61"/>
      <c r="CN463" s="61"/>
      <c r="CO463" s="61"/>
      <c r="CP463" s="61"/>
      <c r="CQ463" s="61"/>
      <c r="CR463" s="61"/>
      <c r="CS463" s="61"/>
      <c r="CT463" s="61"/>
      <c r="CU463" s="61"/>
      <c r="CV463" s="61"/>
      <c r="CW463" s="61"/>
      <c r="CX463" s="61"/>
      <c r="CY463" s="61"/>
      <c r="CZ463" s="61"/>
      <c r="DA463" s="61"/>
      <c r="DB463" s="61"/>
      <c r="DC463" s="61"/>
      <c r="DD463" s="61"/>
      <c r="DE463" s="61"/>
      <c r="DF463" s="61"/>
      <c r="DG463" s="61"/>
      <c r="DH463" s="61"/>
      <c r="DI463" s="61"/>
      <c r="DJ463" s="61"/>
      <c r="DK463" s="61"/>
    </row>
    <row r="464" spans="1:115" ht="21" customHeight="1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108"/>
      <c r="N464" s="108"/>
      <c r="O464" s="108"/>
      <c r="P464" s="108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1"/>
      <c r="CL464" s="61"/>
      <c r="CM464" s="61"/>
      <c r="CN464" s="61"/>
      <c r="CO464" s="61"/>
      <c r="CP464" s="61"/>
      <c r="CQ464" s="61"/>
      <c r="CR464" s="61"/>
      <c r="CS464" s="61"/>
      <c r="CT464" s="61"/>
      <c r="CU464" s="61"/>
      <c r="CV464" s="61"/>
      <c r="CW464" s="61"/>
      <c r="CX464" s="61"/>
      <c r="CY464" s="61"/>
      <c r="CZ464" s="61"/>
      <c r="DA464" s="61"/>
      <c r="DB464" s="61"/>
      <c r="DC464" s="61"/>
      <c r="DD464" s="61"/>
      <c r="DE464" s="61"/>
      <c r="DF464" s="61"/>
      <c r="DG464" s="61"/>
      <c r="DH464" s="61"/>
      <c r="DI464" s="61"/>
      <c r="DJ464" s="61"/>
      <c r="DK464" s="61"/>
    </row>
    <row r="465" spans="1:115" ht="21" customHeight="1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108"/>
      <c r="N465" s="108"/>
      <c r="O465" s="108"/>
      <c r="P465" s="108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1"/>
      <c r="CL465" s="61"/>
      <c r="CM465" s="61"/>
      <c r="CN465" s="61"/>
      <c r="CO465" s="61"/>
      <c r="CP465" s="61"/>
      <c r="CQ465" s="61"/>
      <c r="CR465" s="61"/>
      <c r="CS465" s="61"/>
      <c r="CT465" s="61"/>
      <c r="CU465" s="61"/>
      <c r="CV465" s="61"/>
      <c r="CW465" s="61"/>
      <c r="CX465" s="61"/>
      <c r="CY465" s="61"/>
      <c r="CZ465" s="61"/>
      <c r="DA465" s="61"/>
      <c r="DB465" s="61"/>
      <c r="DC465" s="61"/>
      <c r="DD465" s="61"/>
      <c r="DE465" s="61"/>
      <c r="DF465" s="61"/>
      <c r="DG465" s="61"/>
      <c r="DH465" s="61"/>
      <c r="DI465" s="61"/>
      <c r="DJ465" s="61"/>
      <c r="DK465" s="61"/>
    </row>
    <row r="466" spans="1:115" ht="21" customHeight="1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108"/>
      <c r="N466" s="108"/>
      <c r="O466" s="108"/>
      <c r="P466" s="108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1"/>
      <c r="CL466" s="61"/>
      <c r="CM466" s="61"/>
      <c r="CN466" s="61"/>
      <c r="CO466" s="61"/>
      <c r="CP466" s="61"/>
      <c r="CQ466" s="61"/>
      <c r="CR466" s="61"/>
      <c r="CS466" s="61"/>
      <c r="CT466" s="61"/>
      <c r="CU466" s="61"/>
      <c r="CV466" s="61"/>
      <c r="CW466" s="61"/>
      <c r="CX466" s="61"/>
      <c r="CY466" s="61"/>
      <c r="CZ466" s="61"/>
      <c r="DA466" s="61"/>
      <c r="DB466" s="61"/>
      <c r="DC466" s="61"/>
      <c r="DD466" s="61"/>
      <c r="DE466" s="61"/>
      <c r="DF466" s="61"/>
      <c r="DG466" s="61"/>
      <c r="DH466" s="61"/>
      <c r="DI466" s="61"/>
      <c r="DJ466" s="61"/>
      <c r="DK466" s="61"/>
    </row>
    <row r="467" spans="1:115" ht="21" customHeight="1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108"/>
      <c r="N467" s="108"/>
      <c r="O467" s="108"/>
      <c r="P467" s="108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1"/>
      <c r="CL467" s="61"/>
      <c r="CM467" s="61"/>
      <c r="CN467" s="61"/>
      <c r="CO467" s="61"/>
      <c r="CP467" s="61"/>
      <c r="CQ467" s="61"/>
      <c r="CR467" s="61"/>
      <c r="CS467" s="61"/>
      <c r="CT467" s="61"/>
      <c r="CU467" s="61"/>
      <c r="CV467" s="61"/>
      <c r="CW467" s="61"/>
      <c r="CX467" s="61"/>
      <c r="CY467" s="61"/>
      <c r="CZ467" s="61"/>
      <c r="DA467" s="61"/>
      <c r="DB467" s="61"/>
      <c r="DC467" s="61"/>
      <c r="DD467" s="61"/>
      <c r="DE467" s="61"/>
      <c r="DF467" s="61"/>
      <c r="DG467" s="61"/>
      <c r="DH467" s="61"/>
      <c r="DI467" s="61"/>
      <c r="DJ467" s="61"/>
      <c r="DK467" s="61"/>
    </row>
    <row r="468" spans="1:115" ht="21" customHeight="1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108"/>
      <c r="N468" s="108"/>
      <c r="O468" s="108"/>
      <c r="P468" s="108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1"/>
      <c r="CL468" s="61"/>
      <c r="CM468" s="61"/>
      <c r="CN468" s="61"/>
      <c r="CO468" s="61"/>
      <c r="CP468" s="61"/>
      <c r="CQ468" s="61"/>
      <c r="CR468" s="61"/>
      <c r="CS468" s="61"/>
      <c r="CT468" s="61"/>
      <c r="CU468" s="61"/>
      <c r="CV468" s="61"/>
      <c r="CW468" s="61"/>
      <c r="CX468" s="61"/>
      <c r="CY468" s="61"/>
      <c r="CZ468" s="61"/>
      <c r="DA468" s="61"/>
      <c r="DB468" s="61"/>
      <c r="DC468" s="61"/>
      <c r="DD468" s="61"/>
      <c r="DE468" s="61"/>
      <c r="DF468" s="61"/>
      <c r="DG468" s="61"/>
      <c r="DH468" s="61"/>
      <c r="DI468" s="61"/>
      <c r="DJ468" s="61"/>
      <c r="DK468" s="61"/>
    </row>
    <row r="469" spans="1:115" ht="21" customHeight="1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108"/>
      <c r="N469" s="108"/>
      <c r="O469" s="108"/>
      <c r="P469" s="108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1"/>
      <c r="CL469" s="61"/>
      <c r="CM469" s="61"/>
      <c r="CN469" s="61"/>
      <c r="CO469" s="61"/>
      <c r="CP469" s="61"/>
      <c r="CQ469" s="61"/>
      <c r="CR469" s="61"/>
      <c r="CS469" s="61"/>
      <c r="CT469" s="61"/>
      <c r="CU469" s="61"/>
      <c r="CV469" s="61"/>
      <c r="CW469" s="61"/>
      <c r="CX469" s="61"/>
      <c r="CY469" s="61"/>
      <c r="CZ469" s="61"/>
      <c r="DA469" s="61"/>
      <c r="DB469" s="61"/>
      <c r="DC469" s="61"/>
      <c r="DD469" s="61"/>
      <c r="DE469" s="61"/>
      <c r="DF469" s="61"/>
      <c r="DG469" s="61"/>
      <c r="DH469" s="61"/>
      <c r="DI469" s="61"/>
      <c r="DJ469" s="61"/>
      <c r="DK469" s="61"/>
    </row>
    <row r="470" spans="1:115" ht="21" customHeight="1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108"/>
      <c r="N470" s="108"/>
      <c r="O470" s="108"/>
      <c r="P470" s="108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  <c r="CP470" s="61"/>
      <c r="CQ470" s="61"/>
      <c r="CR470" s="61"/>
      <c r="CS470" s="61"/>
      <c r="CT470" s="61"/>
      <c r="CU470" s="61"/>
      <c r="CV470" s="61"/>
      <c r="CW470" s="61"/>
      <c r="CX470" s="61"/>
      <c r="CY470" s="61"/>
      <c r="CZ470" s="61"/>
      <c r="DA470" s="61"/>
      <c r="DB470" s="61"/>
      <c r="DC470" s="61"/>
      <c r="DD470" s="61"/>
      <c r="DE470" s="61"/>
      <c r="DF470" s="61"/>
      <c r="DG470" s="61"/>
      <c r="DH470" s="61"/>
      <c r="DI470" s="61"/>
      <c r="DJ470" s="61"/>
      <c r="DK470" s="61"/>
    </row>
    <row r="471" spans="1:115" ht="21" customHeight="1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108"/>
      <c r="N471" s="108"/>
      <c r="O471" s="108"/>
      <c r="P471" s="108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1"/>
      <c r="CL471" s="61"/>
      <c r="CM471" s="61"/>
      <c r="CN471" s="61"/>
      <c r="CO471" s="61"/>
      <c r="CP471" s="61"/>
      <c r="CQ471" s="61"/>
      <c r="CR471" s="61"/>
      <c r="CS471" s="61"/>
      <c r="CT471" s="61"/>
      <c r="CU471" s="61"/>
      <c r="CV471" s="61"/>
      <c r="CW471" s="61"/>
      <c r="CX471" s="61"/>
      <c r="CY471" s="61"/>
      <c r="CZ471" s="61"/>
      <c r="DA471" s="61"/>
      <c r="DB471" s="61"/>
      <c r="DC471" s="61"/>
      <c r="DD471" s="61"/>
      <c r="DE471" s="61"/>
      <c r="DF471" s="61"/>
      <c r="DG471" s="61"/>
      <c r="DH471" s="61"/>
      <c r="DI471" s="61"/>
      <c r="DJ471" s="61"/>
      <c r="DK471" s="61"/>
    </row>
    <row r="472" spans="1:115" ht="21" customHeight="1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108"/>
      <c r="N472" s="108"/>
      <c r="O472" s="108"/>
      <c r="P472" s="108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1"/>
      <c r="CL472" s="61"/>
      <c r="CM472" s="61"/>
      <c r="CN472" s="61"/>
      <c r="CO472" s="61"/>
      <c r="CP472" s="61"/>
      <c r="CQ472" s="61"/>
      <c r="CR472" s="61"/>
      <c r="CS472" s="61"/>
      <c r="CT472" s="61"/>
      <c r="CU472" s="61"/>
      <c r="CV472" s="61"/>
      <c r="CW472" s="61"/>
      <c r="CX472" s="61"/>
      <c r="CY472" s="61"/>
      <c r="CZ472" s="61"/>
      <c r="DA472" s="61"/>
      <c r="DB472" s="61"/>
      <c r="DC472" s="61"/>
      <c r="DD472" s="61"/>
      <c r="DE472" s="61"/>
      <c r="DF472" s="61"/>
      <c r="DG472" s="61"/>
      <c r="DH472" s="61"/>
      <c r="DI472" s="61"/>
      <c r="DJ472" s="61"/>
      <c r="DK472" s="61"/>
    </row>
    <row r="473" spans="1:115" ht="21" customHeight="1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108"/>
      <c r="N473" s="108"/>
      <c r="O473" s="108"/>
      <c r="P473" s="108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1"/>
      <c r="CL473" s="61"/>
      <c r="CM473" s="61"/>
      <c r="CN473" s="61"/>
      <c r="CO473" s="61"/>
      <c r="CP473" s="61"/>
      <c r="CQ473" s="61"/>
      <c r="CR473" s="61"/>
      <c r="CS473" s="61"/>
      <c r="CT473" s="61"/>
      <c r="CU473" s="61"/>
      <c r="CV473" s="61"/>
      <c r="CW473" s="61"/>
      <c r="CX473" s="61"/>
      <c r="CY473" s="61"/>
      <c r="CZ473" s="61"/>
      <c r="DA473" s="61"/>
      <c r="DB473" s="61"/>
      <c r="DC473" s="61"/>
      <c r="DD473" s="61"/>
      <c r="DE473" s="61"/>
      <c r="DF473" s="61"/>
      <c r="DG473" s="61"/>
      <c r="DH473" s="61"/>
      <c r="DI473" s="61"/>
      <c r="DJ473" s="61"/>
      <c r="DK473" s="61"/>
    </row>
    <row r="474" spans="1:115" ht="21" customHeight="1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108"/>
      <c r="N474" s="108"/>
      <c r="O474" s="108"/>
      <c r="P474" s="108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1"/>
      <c r="CL474" s="61"/>
      <c r="CM474" s="61"/>
      <c r="CN474" s="61"/>
      <c r="CO474" s="61"/>
      <c r="CP474" s="61"/>
      <c r="CQ474" s="61"/>
      <c r="CR474" s="61"/>
      <c r="CS474" s="61"/>
      <c r="CT474" s="61"/>
      <c r="CU474" s="61"/>
      <c r="CV474" s="61"/>
      <c r="CW474" s="61"/>
      <c r="CX474" s="61"/>
      <c r="CY474" s="61"/>
      <c r="CZ474" s="61"/>
      <c r="DA474" s="61"/>
      <c r="DB474" s="61"/>
      <c r="DC474" s="61"/>
      <c r="DD474" s="61"/>
      <c r="DE474" s="61"/>
      <c r="DF474" s="61"/>
      <c r="DG474" s="61"/>
      <c r="DH474" s="61"/>
      <c r="DI474" s="61"/>
      <c r="DJ474" s="61"/>
      <c r="DK474" s="61"/>
    </row>
    <row r="475" spans="1:115" ht="21" customHeight="1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108"/>
      <c r="N475" s="108"/>
      <c r="O475" s="108"/>
      <c r="P475" s="108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1"/>
      <c r="CL475" s="61"/>
      <c r="CM475" s="61"/>
      <c r="CN475" s="61"/>
      <c r="CO475" s="61"/>
      <c r="CP475" s="61"/>
      <c r="CQ475" s="61"/>
      <c r="CR475" s="61"/>
      <c r="CS475" s="61"/>
      <c r="CT475" s="61"/>
      <c r="CU475" s="61"/>
      <c r="CV475" s="61"/>
      <c r="CW475" s="61"/>
      <c r="CX475" s="61"/>
      <c r="CY475" s="61"/>
      <c r="CZ475" s="61"/>
      <c r="DA475" s="61"/>
      <c r="DB475" s="61"/>
      <c r="DC475" s="61"/>
      <c r="DD475" s="61"/>
      <c r="DE475" s="61"/>
      <c r="DF475" s="61"/>
      <c r="DG475" s="61"/>
      <c r="DH475" s="61"/>
      <c r="DI475" s="61"/>
      <c r="DJ475" s="61"/>
      <c r="DK475" s="61"/>
    </row>
    <row r="476" spans="1:115" ht="21" customHeight="1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108"/>
      <c r="N476" s="108"/>
      <c r="O476" s="108"/>
      <c r="P476" s="108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1"/>
      <c r="CL476" s="61"/>
      <c r="CM476" s="61"/>
      <c r="CN476" s="61"/>
      <c r="CO476" s="61"/>
      <c r="CP476" s="61"/>
      <c r="CQ476" s="61"/>
      <c r="CR476" s="61"/>
      <c r="CS476" s="61"/>
      <c r="CT476" s="61"/>
      <c r="CU476" s="61"/>
      <c r="CV476" s="61"/>
      <c r="CW476" s="61"/>
      <c r="CX476" s="61"/>
      <c r="CY476" s="61"/>
      <c r="CZ476" s="61"/>
      <c r="DA476" s="61"/>
      <c r="DB476" s="61"/>
      <c r="DC476" s="61"/>
      <c r="DD476" s="61"/>
      <c r="DE476" s="61"/>
      <c r="DF476" s="61"/>
      <c r="DG476" s="61"/>
      <c r="DH476" s="61"/>
      <c r="DI476" s="61"/>
      <c r="DJ476" s="61"/>
      <c r="DK476" s="61"/>
    </row>
    <row r="477" spans="1:115" ht="21" customHeight="1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108"/>
      <c r="N477" s="108"/>
      <c r="O477" s="108"/>
      <c r="P477" s="108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1"/>
      <c r="CL477" s="61"/>
      <c r="CM477" s="61"/>
      <c r="CN477" s="61"/>
      <c r="CO477" s="61"/>
      <c r="CP477" s="61"/>
      <c r="CQ477" s="61"/>
      <c r="CR477" s="61"/>
      <c r="CS477" s="61"/>
      <c r="CT477" s="61"/>
      <c r="CU477" s="61"/>
      <c r="CV477" s="61"/>
      <c r="CW477" s="61"/>
      <c r="CX477" s="61"/>
      <c r="CY477" s="61"/>
      <c r="CZ477" s="61"/>
      <c r="DA477" s="61"/>
      <c r="DB477" s="61"/>
      <c r="DC477" s="61"/>
      <c r="DD477" s="61"/>
      <c r="DE477" s="61"/>
      <c r="DF477" s="61"/>
      <c r="DG477" s="61"/>
      <c r="DH477" s="61"/>
      <c r="DI477" s="61"/>
      <c r="DJ477" s="61"/>
      <c r="DK477" s="61"/>
    </row>
    <row r="478" spans="1:115" ht="21" customHeight="1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108"/>
      <c r="N478" s="108"/>
      <c r="O478" s="108"/>
      <c r="P478" s="108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1"/>
      <c r="CL478" s="61"/>
      <c r="CM478" s="61"/>
      <c r="CN478" s="61"/>
      <c r="CO478" s="61"/>
      <c r="CP478" s="61"/>
      <c r="CQ478" s="61"/>
      <c r="CR478" s="61"/>
      <c r="CS478" s="61"/>
      <c r="CT478" s="61"/>
      <c r="CU478" s="61"/>
      <c r="CV478" s="61"/>
      <c r="CW478" s="61"/>
      <c r="CX478" s="61"/>
      <c r="CY478" s="61"/>
      <c r="CZ478" s="61"/>
      <c r="DA478" s="61"/>
      <c r="DB478" s="61"/>
      <c r="DC478" s="61"/>
      <c r="DD478" s="61"/>
      <c r="DE478" s="61"/>
      <c r="DF478" s="61"/>
      <c r="DG478" s="61"/>
      <c r="DH478" s="61"/>
      <c r="DI478" s="61"/>
      <c r="DJ478" s="61"/>
      <c r="DK478" s="61"/>
    </row>
    <row r="479" spans="1:115" ht="21" customHeight="1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108"/>
      <c r="N479" s="108"/>
      <c r="O479" s="108"/>
      <c r="P479" s="108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1"/>
      <c r="CL479" s="61"/>
      <c r="CM479" s="61"/>
      <c r="CN479" s="61"/>
      <c r="CO479" s="61"/>
      <c r="CP479" s="61"/>
      <c r="CQ479" s="61"/>
      <c r="CR479" s="61"/>
      <c r="CS479" s="61"/>
      <c r="CT479" s="61"/>
      <c r="CU479" s="61"/>
      <c r="CV479" s="61"/>
      <c r="CW479" s="61"/>
      <c r="CX479" s="61"/>
      <c r="CY479" s="61"/>
      <c r="CZ479" s="61"/>
      <c r="DA479" s="61"/>
      <c r="DB479" s="61"/>
      <c r="DC479" s="61"/>
      <c r="DD479" s="61"/>
      <c r="DE479" s="61"/>
      <c r="DF479" s="61"/>
      <c r="DG479" s="61"/>
      <c r="DH479" s="61"/>
      <c r="DI479" s="61"/>
      <c r="DJ479" s="61"/>
      <c r="DK479" s="61"/>
    </row>
    <row r="480" spans="1:115" ht="21" customHeight="1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108"/>
      <c r="N480" s="108"/>
      <c r="O480" s="108"/>
      <c r="P480" s="108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1"/>
      <c r="CL480" s="61"/>
      <c r="CM480" s="61"/>
      <c r="CN480" s="61"/>
      <c r="CO480" s="61"/>
      <c r="CP480" s="61"/>
      <c r="CQ480" s="61"/>
      <c r="CR480" s="61"/>
      <c r="CS480" s="61"/>
      <c r="CT480" s="61"/>
      <c r="CU480" s="61"/>
      <c r="CV480" s="61"/>
      <c r="CW480" s="61"/>
      <c r="CX480" s="61"/>
      <c r="CY480" s="61"/>
      <c r="CZ480" s="61"/>
      <c r="DA480" s="61"/>
      <c r="DB480" s="61"/>
      <c r="DC480" s="61"/>
      <c r="DD480" s="61"/>
      <c r="DE480" s="61"/>
      <c r="DF480" s="61"/>
      <c r="DG480" s="61"/>
      <c r="DH480" s="61"/>
      <c r="DI480" s="61"/>
      <c r="DJ480" s="61"/>
      <c r="DK480" s="61"/>
    </row>
    <row r="481" spans="1:115" ht="21" customHeight="1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108"/>
      <c r="N481" s="108"/>
      <c r="O481" s="108"/>
      <c r="P481" s="108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1"/>
      <c r="CL481" s="61"/>
      <c r="CM481" s="61"/>
      <c r="CN481" s="61"/>
      <c r="CO481" s="61"/>
      <c r="CP481" s="61"/>
      <c r="CQ481" s="61"/>
      <c r="CR481" s="61"/>
      <c r="CS481" s="61"/>
      <c r="CT481" s="61"/>
      <c r="CU481" s="61"/>
      <c r="CV481" s="61"/>
      <c r="CW481" s="61"/>
      <c r="CX481" s="61"/>
      <c r="CY481" s="61"/>
      <c r="CZ481" s="61"/>
      <c r="DA481" s="61"/>
      <c r="DB481" s="61"/>
      <c r="DC481" s="61"/>
      <c r="DD481" s="61"/>
      <c r="DE481" s="61"/>
      <c r="DF481" s="61"/>
      <c r="DG481" s="61"/>
      <c r="DH481" s="61"/>
      <c r="DI481" s="61"/>
      <c r="DJ481" s="61"/>
      <c r="DK481" s="61"/>
    </row>
    <row r="482" spans="1:115" ht="21" customHeight="1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108"/>
      <c r="N482" s="108"/>
      <c r="O482" s="108"/>
      <c r="P482" s="108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1"/>
      <c r="CL482" s="61"/>
      <c r="CM482" s="61"/>
      <c r="CN482" s="61"/>
      <c r="CO482" s="61"/>
      <c r="CP482" s="61"/>
      <c r="CQ482" s="61"/>
      <c r="CR482" s="61"/>
      <c r="CS482" s="61"/>
      <c r="CT482" s="61"/>
      <c r="CU482" s="61"/>
      <c r="CV482" s="61"/>
      <c r="CW482" s="61"/>
      <c r="CX482" s="61"/>
      <c r="CY482" s="61"/>
      <c r="CZ482" s="61"/>
      <c r="DA482" s="61"/>
      <c r="DB482" s="61"/>
      <c r="DC482" s="61"/>
      <c r="DD482" s="61"/>
      <c r="DE482" s="61"/>
      <c r="DF482" s="61"/>
      <c r="DG482" s="61"/>
      <c r="DH482" s="61"/>
      <c r="DI482" s="61"/>
      <c r="DJ482" s="61"/>
      <c r="DK482" s="61"/>
    </row>
    <row r="483" spans="1:115" ht="21" customHeight="1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108"/>
      <c r="N483" s="108"/>
      <c r="O483" s="108"/>
      <c r="P483" s="108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1"/>
      <c r="CL483" s="61"/>
      <c r="CM483" s="61"/>
      <c r="CN483" s="61"/>
      <c r="CO483" s="61"/>
      <c r="CP483" s="61"/>
      <c r="CQ483" s="61"/>
      <c r="CR483" s="61"/>
      <c r="CS483" s="61"/>
      <c r="CT483" s="61"/>
      <c r="CU483" s="61"/>
      <c r="CV483" s="61"/>
      <c r="CW483" s="61"/>
      <c r="CX483" s="61"/>
      <c r="CY483" s="61"/>
      <c r="CZ483" s="61"/>
      <c r="DA483" s="61"/>
      <c r="DB483" s="61"/>
      <c r="DC483" s="61"/>
      <c r="DD483" s="61"/>
      <c r="DE483" s="61"/>
      <c r="DF483" s="61"/>
      <c r="DG483" s="61"/>
      <c r="DH483" s="61"/>
      <c r="DI483" s="61"/>
      <c r="DJ483" s="61"/>
      <c r="DK483" s="61"/>
    </row>
    <row r="484" spans="1:115" ht="21" customHeight="1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108"/>
      <c r="N484" s="108"/>
      <c r="O484" s="108"/>
      <c r="P484" s="108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1"/>
      <c r="CK484" s="61"/>
      <c r="CL484" s="61"/>
      <c r="CM484" s="61"/>
      <c r="CN484" s="61"/>
      <c r="CO484" s="61"/>
      <c r="CP484" s="61"/>
      <c r="CQ484" s="61"/>
      <c r="CR484" s="61"/>
      <c r="CS484" s="61"/>
      <c r="CT484" s="61"/>
      <c r="CU484" s="61"/>
      <c r="CV484" s="61"/>
      <c r="CW484" s="61"/>
      <c r="CX484" s="61"/>
      <c r="CY484" s="61"/>
      <c r="CZ484" s="61"/>
      <c r="DA484" s="61"/>
      <c r="DB484" s="61"/>
      <c r="DC484" s="61"/>
      <c r="DD484" s="61"/>
      <c r="DE484" s="61"/>
      <c r="DF484" s="61"/>
      <c r="DG484" s="61"/>
      <c r="DH484" s="61"/>
      <c r="DI484" s="61"/>
      <c r="DJ484" s="61"/>
      <c r="DK484" s="61"/>
    </row>
    <row r="485" spans="1:115" ht="21" customHeight="1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108"/>
      <c r="N485" s="108"/>
      <c r="O485" s="108"/>
      <c r="P485" s="108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1"/>
      <c r="CL485" s="61"/>
      <c r="CM485" s="61"/>
      <c r="CN485" s="61"/>
      <c r="CO485" s="61"/>
      <c r="CP485" s="61"/>
      <c r="CQ485" s="61"/>
      <c r="CR485" s="61"/>
      <c r="CS485" s="61"/>
      <c r="CT485" s="61"/>
      <c r="CU485" s="61"/>
      <c r="CV485" s="61"/>
      <c r="CW485" s="61"/>
      <c r="CX485" s="61"/>
      <c r="CY485" s="61"/>
      <c r="CZ485" s="61"/>
      <c r="DA485" s="61"/>
      <c r="DB485" s="61"/>
      <c r="DC485" s="61"/>
      <c r="DD485" s="61"/>
      <c r="DE485" s="61"/>
      <c r="DF485" s="61"/>
      <c r="DG485" s="61"/>
      <c r="DH485" s="61"/>
      <c r="DI485" s="61"/>
      <c r="DJ485" s="61"/>
      <c r="DK485" s="61"/>
    </row>
    <row r="486" spans="1:115" ht="21" customHeight="1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108"/>
      <c r="N486" s="108"/>
      <c r="O486" s="108"/>
      <c r="P486" s="108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  <c r="CN486" s="61"/>
      <c r="CO486" s="61"/>
      <c r="CP486" s="61"/>
      <c r="CQ486" s="61"/>
      <c r="CR486" s="61"/>
      <c r="CS486" s="61"/>
      <c r="CT486" s="61"/>
      <c r="CU486" s="61"/>
      <c r="CV486" s="61"/>
      <c r="CW486" s="61"/>
      <c r="CX486" s="61"/>
      <c r="CY486" s="61"/>
      <c r="CZ486" s="61"/>
      <c r="DA486" s="61"/>
      <c r="DB486" s="61"/>
      <c r="DC486" s="61"/>
      <c r="DD486" s="61"/>
      <c r="DE486" s="61"/>
      <c r="DF486" s="61"/>
      <c r="DG486" s="61"/>
      <c r="DH486" s="61"/>
      <c r="DI486" s="61"/>
      <c r="DJ486" s="61"/>
      <c r="DK486" s="61"/>
    </row>
    <row r="487" spans="1:115" ht="21" customHeight="1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108"/>
      <c r="N487" s="108"/>
      <c r="O487" s="108"/>
      <c r="P487" s="108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1"/>
      <c r="CL487" s="61"/>
      <c r="CM487" s="61"/>
      <c r="CN487" s="61"/>
      <c r="CO487" s="61"/>
      <c r="CP487" s="61"/>
      <c r="CQ487" s="61"/>
      <c r="CR487" s="61"/>
      <c r="CS487" s="61"/>
      <c r="CT487" s="61"/>
      <c r="CU487" s="61"/>
      <c r="CV487" s="61"/>
      <c r="CW487" s="61"/>
      <c r="CX487" s="61"/>
      <c r="CY487" s="61"/>
      <c r="CZ487" s="61"/>
      <c r="DA487" s="61"/>
      <c r="DB487" s="61"/>
      <c r="DC487" s="61"/>
      <c r="DD487" s="61"/>
      <c r="DE487" s="61"/>
      <c r="DF487" s="61"/>
      <c r="DG487" s="61"/>
      <c r="DH487" s="61"/>
      <c r="DI487" s="61"/>
      <c r="DJ487" s="61"/>
      <c r="DK487" s="61"/>
    </row>
    <row r="488" spans="1:115" ht="21" customHeight="1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108"/>
      <c r="N488" s="108"/>
      <c r="O488" s="108"/>
      <c r="P488" s="108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1"/>
      <c r="CK488" s="61"/>
      <c r="CL488" s="61"/>
      <c r="CM488" s="61"/>
      <c r="CN488" s="61"/>
      <c r="CO488" s="61"/>
      <c r="CP488" s="61"/>
      <c r="CQ488" s="61"/>
      <c r="CR488" s="61"/>
      <c r="CS488" s="61"/>
      <c r="CT488" s="61"/>
      <c r="CU488" s="61"/>
      <c r="CV488" s="61"/>
      <c r="CW488" s="61"/>
      <c r="CX488" s="61"/>
      <c r="CY488" s="61"/>
      <c r="CZ488" s="61"/>
      <c r="DA488" s="61"/>
      <c r="DB488" s="61"/>
      <c r="DC488" s="61"/>
      <c r="DD488" s="61"/>
      <c r="DE488" s="61"/>
      <c r="DF488" s="61"/>
      <c r="DG488" s="61"/>
      <c r="DH488" s="61"/>
      <c r="DI488" s="61"/>
      <c r="DJ488" s="61"/>
      <c r="DK488" s="61"/>
    </row>
    <row r="489" spans="1:115" ht="21" customHeight="1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108"/>
      <c r="N489" s="108"/>
      <c r="O489" s="108"/>
      <c r="P489" s="108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1"/>
      <c r="CL489" s="61"/>
      <c r="CM489" s="61"/>
      <c r="CN489" s="61"/>
      <c r="CO489" s="61"/>
      <c r="CP489" s="61"/>
      <c r="CQ489" s="61"/>
      <c r="CR489" s="61"/>
      <c r="CS489" s="61"/>
      <c r="CT489" s="61"/>
      <c r="CU489" s="61"/>
      <c r="CV489" s="61"/>
      <c r="CW489" s="61"/>
      <c r="CX489" s="61"/>
      <c r="CY489" s="61"/>
      <c r="CZ489" s="61"/>
      <c r="DA489" s="61"/>
      <c r="DB489" s="61"/>
      <c r="DC489" s="61"/>
      <c r="DD489" s="61"/>
      <c r="DE489" s="61"/>
      <c r="DF489" s="61"/>
      <c r="DG489" s="61"/>
      <c r="DH489" s="61"/>
      <c r="DI489" s="61"/>
      <c r="DJ489" s="61"/>
      <c r="DK489" s="61"/>
    </row>
    <row r="490" spans="1:115" ht="21" customHeight="1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108"/>
      <c r="N490" s="108"/>
      <c r="O490" s="108"/>
      <c r="P490" s="108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1"/>
      <c r="CL490" s="61"/>
      <c r="CM490" s="61"/>
      <c r="CN490" s="61"/>
      <c r="CO490" s="61"/>
      <c r="CP490" s="61"/>
      <c r="CQ490" s="61"/>
      <c r="CR490" s="61"/>
      <c r="CS490" s="61"/>
      <c r="CT490" s="61"/>
      <c r="CU490" s="61"/>
      <c r="CV490" s="61"/>
      <c r="CW490" s="61"/>
      <c r="CX490" s="61"/>
      <c r="CY490" s="61"/>
      <c r="CZ490" s="61"/>
      <c r="DA490" s="61"/>
      <c r="DB490" s="61"/>
      <c r="DC490" s="61"/>
      <c r="DD490" s="61"/>
      <c r="DE490" s="61"/>
      <c r="DF490" s="61"/>
      <c r="DG490" s="61"/>
      <c r="DH490" s="61"/>
      <c r="DI490" s="61"/>
      <c r="DJ490" s="61"/>
      <c r="DK490" s="61"/>
    </row>
    <row r="491" spans="1:115" ht="21" customHeight="1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108"/>
      <c r="N491" s="108"/>
      <c r="O491" s="108"/>
      <c r="P491" s="108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1"/>
      <c r="CL491" s="61"/>
      <c r="CM491" s="61"/>
      <c r="CN491" s="61"/>
      <c r="CO491" s="61"/>
      <c r="CP491" s="61"/>
      <c r="CQ491" s="61"/>
      <c r="CR491" s="61"/>
      <c r="CS491" s="61"/>
      <c r="CT491" s="61"/>
      <c r="CU491" s="61"/>
      <c r="CV491" s="61"/>
      <c r="CW491" s="61"/>
      <c r="CX491" s="61"/>
      <c r="CY491" s="61"/>
      <c r="CZ491" s="61"/>
      <c r="DA491" s="61"/>
      <c r="DB491" s="61"/>
      <c r="DC491" s="61"/>
      <c r="DD491" s="61"/>
      <c r="DE491" s="61"/>
      <c r="DF491" s="61"/>
      <c r="DG491" s="61"/>
      <c r="DH491" s="61"/>
      <c r="DI491" s="61"/>
      <c r="DJ491" s="61"/>
      <c r="DK491" s="61"/>
    </row>
    <row r="492" spans="1:115" ht="21" customHeight="1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108"/>
      <c r="N492" s="108"/>
      <c r="O492" s="108"/>
      <c r="P492" s="108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1"/>
      <c r="CL492" s="61"/>
      <c r="CM492" s="61"/>
      <c r="CN492" s="61"/>
      <c r="CO492" s="61"/>
      <c r="CP492" s="61"/>
      <c r="CQ492" s="61"/>
      <c r="CR492" s="61"/>
      <c r="CS492" s="61"/>
      <c r="CT492" s="61"/>
      <c r="CU492" s="61"/>
      <c r="CV492" s="61"/>
      <c r="CW492" s="61"/>
      <c r="CX492" s="61"/>
      <c r="CY492" s="61"/>
      <c r="CZ492" s="61"/>
      <c r="DA492" s="61"/>
      <c r="DB492" s="61"/>
      <c r="DC492" s="61"/>
      <c r="DD492" s="61"/>
      <c r="DE492" s="61"/>
      <c r="DF492" s="61"/>
      <c r="DG492" s="61"/>
      <c r="DH492" s="61"/>
      <c r="DI492" s="61"/>
      <c r="DJ492" s="61"/>
      <c r="DK492" s="61"/>
    </row>
    <row r="493" spans="1:115" ht="21" customHeight="1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108"/>
      <c r="N493" s="108"/>
      <c r="O493" s="108"/>
      <c r="P493" s="108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1"/>
      <c r="CL493" s="61"/>
      <c r="CM493" s="61"/>
      <c r="CN493" s="61"/>
      <c r="CO493" s="61"/>
      <c r="CP493" s="61"/>
      <c r="CQ493" s="61"/>
      <c r="CR493" s="61"/>
      <c r="CS493" s="61"/>
      <c r="CT493" s="61"/>
      <c r="CU493" s="61"/>
      <c r="CV493" s="61"/>
      <c r="CW493" s="61"/>
      <c r="CX493" s="61"/>
      <c r="CY493" s="61"/>
      <c r="CZ493" s="61"/>
      <c r="DA493" s="61"/>
      <c r="DB493" s="61"/>
      <c r="DC493" s="61"/>
      <c r="DD493" s="61"/>
      <c r="DE493" s="61"/>
      <c r="DF493" s="61"/>
      <c r="DG493" s="61"/>
      <c r="DH493" s="61"/>
      <c r="DI493" s="61"/>
      <c r="DJ493" s="61"/>
      <c r="DK493" s="61"/>
    </row>
    <row r="494" spans="1:115" ht="21" customHeight="1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108"/>
      <c r="N494" s="108"/>
      <c r="O494" s="108"/>
      <c r="P494" s="108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  <c r="CN494" s="61"/>
      <c r="CO494" s="61"/>
      <c r="CP494" s="61"/>
      <c r="CQ494" s="61"/>
      <c r="CR494" s="61"/>
      <c r="CS494" s="61"/>
      <c r="CT494" s="61"/>
      <c r="CU494" s="61"/>
      <c r="CV494" s="61"/>
      <c r="CW494" s="61"/>
      <c r="CX494" s="61"/>
      <c r="CY494" s="61"/>
      <c r="CZ494" s="61"/>
      <c r="DA494" s="61"/>
      <c r="DB494" s="61"/>
      <c r="DC494" s="61"/>
      <c r="DD494" s="61"/>
      <c r="DE494" s="61"/>
      <c r="DF494" s="61"/>
      <c r="DG494" s="61"/>
      <c r="DH494" s="61"/>
      <c r="DI494" s="61"/>
      <c r="DJ494" s="61"/>
      <c r="DK494" s="61"/>
    </row>
    <row r="495" spans="1:115" ht="21" customHeight="1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108"/>
      <c r="N495" s="108"/>
      <c r="O495" s="108"/>
      <c r="P495" s="108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1"/>
      <c r="CL495" s="61"/>
      <c r="CM495" s="61"/>
      <c r="CN495" s="61"/>
      <c r="CO495" s="61"/>
      <c r="CP495" s="61"/>
      <c r="CQ495" s="61"/>
      <c r="CR495" s="61"/>
      <c r="CS495" s="61"/>
      <c r="CT495" s="61"/>
      <c r="CU495" s="61"/>
      <c r="CV495" s="61"/>
      <c r="CW495" s="61"/>
      <c r="CX495" s="61"/>
      <c r="CY495" s="61"/>
      <c r="CZ495" s="61"/>
      <c r="DA495" s="61"/>
      <c r="DB495" s="61"/>
      <c r="DC495" s="61"/>
      <c r="DD495" s="61"/>
      <c r="DE495" s="61"/>
      <c r="DF495" s="61"/>
      <c r="DG495" s="61"/>
      <c r="DH495" s="61"/>
      <c r="DI495" s="61"/>
      <c r="DJ495" s="61"/>
      <c r="DK495" s="61"/>
    </row>
    <row r="496" spans="1:115" ht="21" customHeight="1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108"/>
      <c r="N496" s="108"/>
      <c r="O496" s="108"/>
      <c r="P496" s="108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1"/>
      <c r="CK496" s="61"/>
      <c r="CL496" s="61"/>
      <c r="CM496" s="61"/>
      <c r="CN496" s="61"/>
      <c r="CO496" s="61"/>
      <c r="CP496" s="61"/>
      <c r="CQ496" s="61"/>
      <c r="CR496" s="61"/>
      <c r="CS496" s="61"/>
      <c r="CT496" s="61"/>
      <c r="CU496" s="61"/>
      <c r="CV496" s="61"/>
      <c r="CW496" s="61"/>
      <c r="CX496" s="61"/>
      <c r="CY496" s="61"/>
      <c r="CZ496" s="61"/>
      <c r="DA496" s="61"/>
      <c r="DB496" s="61"/>
      <c r="DC496" s="61"/>
      <c r="DD496" s="61"/>
      <c r="DE496" s="61"/>
      <c r="DF496" s="61"/>
      <c r="DG496" s="61"/>
      <c r="DH496" s="61"/>
      <c r="DI496" s="61"/>
      <c r="DJ496" s="61"/>
      <c r="DK496" s="61"/>
    </row>
    <row r="497" spans="1:115" ht="21" customHeight="1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108"/>
      <c r="N497" s="108"/>
      <c r="O497" s="108"/>
      <c r="P497" s="108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1"/>
      <c r="CL497" s="61"/>
      <c r="CM497" s="61"/>
      <c r="CN497" s="61"/>
      <c r="CO497" s="61"/>
      <c r="CP497" s="61"/>
      <c r="CQ497" s="61"/>
      <c r="CR497" s="61"/>
      <c r="CS497" s="61"/>
      <c r="CT497" s="61"/>
      <c r="CU497" s="61"/>
      <c r="CV497" s="61"/>
      <c r="CW497" s="61"/>
      <c r="CX497" s="61"/>
      <c r="CY497" s="61"/>
      <c r="CZ497" s="61"/>
      <c r="DA497" s="61"/>
      <c r="DB497" s="61"/>
      <c r="DC497" s="61"/>
      <c r="DD497" s="61"/>
      <c r="DE497" s="61"/>
      <c r="DF497" s="61"/>
      <c r="DG497" s="61"/>
      <c r="DH497" s="61"/>
      <c r="DI497" s="61"/>
      <c r="DJ497" s="61"/>
      <c r="DK497" s="61"/>
    </row>
    <row r="498" spans="1:115" ht="21" customHeight="1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108"/>
      <c r="N498" s="108"/>
      <c r="O498" s="108"/>
      <c r="P498" s="108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1"/>
      <c r="CL498" s="61"/>
      <c r="CM498" s="61"/>
      <c r="CN498" s="61"/>
      <c r="CO498" s="61"/>
      <c r="CP498" s="61"/>
      <c r="CQ498" s="61"/>
      <c r="CR498" s="61"/>
      <c r="CS498" s="61"/>
      <c r="CT498" s="61"/>
      <c r="CU498" s="61"/>
      <c r="CV498" s="61"/>
      <c r="CW498" s="61"/>
      <c r="CX498" s="61"/>
      <c r="CY498" s="61"/>
      <c r="CZ498" s="61"/>
      <c r="DA498" s="61"/>
      <c r="DB498" s="61"/>
      <c r="DC498" s="61"/>
      <c r="DD498" s="61"/>
      <c r="DE498" s="61"/>
      <c r="DF498" s="61"/>
      <c r="DG498" s="61"/>
      <c r="DH498" s="61"/>
      <c r="DI498" s="61"/>
      <c r="DJ498" s="61"/>
      <c r="DK498" s="61"/>
    </row>
    <row r="499" spans="1:115" ht="21" customHeight="1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108"/>
      <c r="N499" s="108"/>
      <c r="O499" s="108"/>
      <c r="P499" s="108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1"/>
      <c r="CL499" s="61"/>
      <c r="CM499" s="61"/>
      <c r="CN499" s="61"/>
      <c r="CO499" s="61"/>
      <c r="CP499" s="61"/>
      <c r="CQ499" s="61"/>
      <c r="CR499" s="61"/>
      <c r="CS499" s="61"/>
      <c r="CT499" s="61"/>
      <c r="CU499" s="61"/>
      <c r="CV499" s="61"/>
      <c r="CW499" s="61"/>
      <c r="CX499" s="61"/>
      <c r="CY499" s="61"/>
      <c r="CZ499" s="61"/>
      <c r="DA499" s="61"/>
      <c r="DB499" s="61"/>
      <c r="DC499" s="61"/>
      <c r="DD499" s="61"/>
      <c r="DE499" s="61"/>
      <c r="DF499" s="61"/>
      <c r="DG499" s="61"/>
      <c r="DH499" s="61"/>
      <c r="DI499" s="61"/>
      <c r="DJ499" s="61"/>
      <c r="DK499" s="61"/>
    </row>
    <row r="500" spans="1:115" ht="21" customHeight="1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108"/>
      <c r="N500" s="108"/>
      <c r="O500" s="108"/>
      <c r="P500" s="108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1"/>
      <c r="CL500" s="61"/>
      <c r="CM500" s="61"/>
      <c r="CN500" s="61"/>
      <c r="CO500" s="61"/>
      <c r="CP500" s="61"/>
      <c r="CQ500" s="61"/>
      <c r="CR500" s="61"/>
      <c r="CS500" s="61"/>
      <c r="CT500" s="61"/>
      <c r="CU500" s="61"/>
      <c r="CV500" s="61"/>
      <c r="CW500" s="61"/>
      <c r="CX500" s="61"/>
      <c r="CY500" s="61"/>
      <c r="CZ500" s="61"/>
      <c r="DA500" s="61"/>
      <c r="DB500" s="61"/>
      <c r="DC500" s="61"/>
      <c r="DD500" s="61"/>
      <c r="DE500" s="61"/>
      <c r="DF500" s="61"/>
      <c r="DG500" s="61"/>
      <c r="DH500" s="61"/>
      <c r="DI500" s="61"/>
      <c r="DJ500" s="61"/>
      <c r="DK500" s="61"/>
    </row>
    <row r="501" spans="1:115" ht="21" customHeight="1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108"/>
      <c r="N501" s="108"/>
      <c r="O501" s="108"/>
      <c r="P501" s="108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  <c r="CM501" s="61"/>
      <c r="CN501" s="61"/>
      <c r="CO501" s="61"/>
      <c r="CP501" s="61"/>
      <c r="CQ501" s="61"/>
      <c r="CR501" s="61"/>
      <c r="CS501" s="61"/>
      <c r="CT501" s="61"/>
      <c r="CU501" s="61"/>
      <c r="CV501" s="61"/>
      <c r="CW501" s="61"/>
      <c r="CX501" s="61"/>
      <c r="CY501" s="61"/>
      <c r="CZ501" s="61"/>
      <c r="DA501" s="61"/>
      <c r="DB501" s="61"/>
      <c r="DC501" s="61"/>
      <c r="DD501" s="61"/>
      <c r="DE501" s="61"/>
      <c r="DF501" s="61"/>
      <c r="DG501" s="61"/>
      <c r="DH501" s="61"/>
      <c r="DI501" s="61"/>
      <c r="DJ501" s="61"/>
      <c r="DK501" s="61"/>
    </row>
    <row r="502" spans="1:115" ht="21" customHeight="1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108"/>
      <c r="N502" s="108"/>
      <c r="O502" s="108"/>
      <c r="P502" s="108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  <c r="CN502" s="61"/>
      <c r="CO502" s="61"/>
      <c r="CP502" s="61"/>
      <c r="CQ502" s="61"/>
      <c r="CR502" s="61"/>
      <c r="CS502" s="61"/>
      <c r="CT502" s="61"/>
      <c r="CU502" s="61"/>
      <c r="CV502" s="61"/>
      <c r="CW502" s="61"/>
      <c r="CX502" s="61"/>
      <c r="CY502" s="61"/>
      <c r="CZ502" s="61"/>
      <c r="DA502" s="61"/>
      <c r="DB502" s="61"/>
      <c r="DC502" s="61"/>
      <c r="DD502" s="61"/>
      <c r="DE502" s="61"/>
      <c r="DF502" s="61"/>
      <c r="DG502" s="61"/>
      <c r="DH502" s="61"/>
      <c r="DI502" s="61"/>
      <c r="DJ502" s="61"/>
      <c r="DK502" s="61"/>
    </row>
    <row r="503" spans="1:115" ht="21" customHeight="1" x14ac:dyDescent="0.2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108"/>
      <c r="N503" s="108"/>
      <c r="O503" s="108"/>
      <c r="P503" s="108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1"/>
      <c r="CL503" s="61"/>
      <c r="CM503" s="61"/>
      <c r="CN503" s="61"/>
      <c r="CO503" s="61"/>
      <c r="CP503" s="61"/>
      <c r="CQ503" s="61"/>
      <c r="CR503" s="61"/>
      <c r="CS503" s="61"/>
      <c r="CT503" s="61"/>
      <c r="CU503" s="61"/>
      <c r="CV503" s="61"/>
      <c r="CW503" s="61"/>
      <c r="CX503" s="61"/>
      <c r="CY503" s="61"/>
      <c r="CZ503" s="61"/>
      <c r="DA503" s="61"/>
      <c r="DB503" s="61"/>
      <c r="DC503" s="61"/>
      <c r="DD503" s="61"/>
      <c r="DE503" s="61"/>
      <c r="DF503" s="61"/>
      <c r="DG503" s="61"/>
      <c r="DH503" s="61"/>
      <c r="DI503" s="61"/>
      <c r="DJ503" s="61"/>
      <c r="DK503" s="61"/>
    </row>
    <row r="504" spans="1:115" ht="21" customHeight="1" x14ac:dyDescent="0.2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108"/>
      <c r="N504" s="108"/>
      <c r="O504" s="108"/>
      <c r="P504" s="108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1"/>
      <c r="CL504" s="61"/>
      <c r="CM504" s="61"/>
      <c r="CN504" s="61"/>
      <c r="CO504" s="61"/>
      <c r="CP504" s="61"/>
      <c r="CQ504" s="61"/>
      <c r="CR504" s="61"/>
      <c r="CS504" s="61"/>
      <c r="CT504" s="61"/>
      <c r="CU504" s="61"/>
      <c r="CV504" s="61"/>
      <c r="CW504" s="61"/>
      <c r="CX504" s="61"/>
      <c r="CY504" s="61"/>
      <c r="CZ504" s="61"/>
      <c r="DA504" s="61"/>
      <c r="DB504" s="61"/>
      <c r="DC504" s="61"/>
      <c r="DD504" s="61"/>
      <c r="DE504" s="61"/>
      <c r="DF504" s="61"/>
      <c r="DG504" s="61"/>
      <c r="DH504" s="61"/>
      <c r="DI504" s="61"/>
      <c r="DJ504" s="61"/>
      <c r="DK504" s="61"/>
    </row>
    <row r="505" spans="1:115" ht="21" customHeight="1" x14ac:dyDescent="0.2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108"/>
      <c r="N505" s="108"/>
      <c r="O505" s="108"/>
      <c r="P505" s="108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1"/>
      <c r="CL505" s="61"/>
      <c r="CM505" s="61"/>
      <c r="CN505" s="61"/>
      <c r="CO505" s="61"/>
      <c r="CP505" s="61"/>
      <c r="CQ505" s="61"/>
      <c r="CR505" s="61"/>
      <c r="CS505" s="61"/>
      <c r="CT505" s="61"/>
      <c r="CU505" s="61"/>
      <c r="CV505" s="61"/>
      <c r="CW505" s="61"/>
      <c r="CX505" s="61"/>
      <c r="CY505" s="61"/>
      <c r="CZ505" s="61"/>
      <c r="DA505" s="61"/>
      <c r="DB505" s="61"/>
      <c r="DC505" s="61"/>
      <c r="DD505" s="61"/>
      <c r="DE505" s="61"/>
      <c r="DF505" s="61"/>
      <c r="DG505" s="61"/>
      <c r="DH505" s="61"/>
      <c r="DI505" s="61"/>
      <c r="DJ505" s="61"/>
      <c r="DK505" s="61"/>
    </row>
    <row r="506" spans="1:115" ht="21" customHeight="1" x14ac:dyDescent="0.2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108"/>
      <c r="N506" s="108"/>
      <c r="O506" s="108"/>
      <c r="P506" s="108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1"/>
      <c r="CL506" s="61"/>
      <c r="CM506" s="61"/>
      <c r="CN506" s="61"/>
      <c r="CO506" s="61"/>
      <c r="CP506" s="61"/>
      <c r="CQ506" s="61"/>
      <c r="CR506" s="61"/>
      <c r="CS506" s="61"/>
      <c r="CT506" s="61"/>
      <c r="CU506" s="61"/>
      <c r="CV506" s="61"/>
      <c r="CW506" s="61"/>
      <c r="CX506" s="61"/>
      <c r="CY506" s="61"/>
      <c r="CZ506" s="61"/>
      <c r="DA506" s="61"/>
      <c r="DB506" s="61"/>
      <c r="DC506" s="61"/>
      <c r="DD506" s="61"/>
      <c r="DE506" s="61"/>
      <c r="DF506" s="61"/>
      <c r="DG506" s="61"/>
      <c r="DH506" s="61"/>
      <c r="DI506" s="61"/>
      <c r="DJ506" s="61"/>
      <c r="DK506" s="61"/>
    </row>
    <row r="507" spans="1:115" ht="21" customHeight="1" x14ac:dyDescent="0.2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108"/>
      <c r="N507" s="108"/>
      <c r="O507" s="108"/>
      <c r="P507" s="108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1"/>
      <c r="CL507" s="61"/>
      <c r="CM507" s="61"/>
      <c r="CN507" s="61"/>
      <c r="CO507" s="61"/>
      <c r="CP507" s="61"/>
      <c r="CQ507" s="61"/>
      <c r="CR507" s="61"/>
      <c r="CS507" s="61"/>
      <c r="CT507" s="61"/>
      <c r="CU507" s="61"/>
      <c r="CV507" s="61"/>
      <c r="CW507" s="61"/>
      <c r="CX507" s="61"/>
      <c r="CY507" s="61"/>
      <c r="CZ507" s="61"/>
      <c r="DA507" s="61"/>
      <c r="DB507" s="61"/>
      <c r="DC507" s="61"/>
      <c r="DD507" s="61"/>
      <c r="DE507" s="61"/>
      <c r="DF507" s="61"/>
      <c r="DG507" s="61"/>
      <c r="DH507" s="61"/>
      <c r="DI507" s="61"/>
      <c r="DJ507" s="61"/>
      <c r="DK507" s="61"/>
    </row>
    <row r="508" spans="1:115" ht="21" customHeight="1" x14ac:dyDescent="0.2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108"/>
      <c r="N508" s="108"/>
      <c r="O508" s="108"/>
      <c r="P508" s="108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1"/>
      <c r="CL508" s="61"/>
      <c r="CM508" s="61"/>
      <c r="CN508" s="61"/>
      <c r="CO508" s="61"/>
      <c r="CP508" s="61"/>
      <c r="CQ508" s="61"/>
      <c r="CR508" s="61"/>
      <c r="CS508" s="61"/>
      <c r="CT508" s="61"/>
      <c r="CU508" s="61"/>
      <c r="CV508" s="61"/>
      <c r="CW508" s="61"/>
      <c r="CX508" s="61"/>
      <c r="CY508" s="61"/>
      <c r="CZ508" s="61"/>
      <c r="DA508" s="61"/>
      <c r="DB508" s="61"/>
      <c r="DC508" s="61"/>
      <c r="DD508" s="61"/>
      <c r="DE508" s="61"/>
      <c r="DF508" s="61"/>
      <c r="DG508" s="61"/>
      <c r="DH508" s="61"/>
      <c r="DI508" s="61"/>
      <c r="DJ508" s="61"/>
      <c r="DK508" s="61"/>
    </row>
    <row r="509" spans="1:115" ht="21" customHeight="1" x14ac:dyDescent="0.2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108"/>
      <c r="N509" s="108"/>
      <c r="O509" s="108"/>
      <c r="P509" s="108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1"/>
      <c r="CL509" s="61"/>
      <c r="CM509" s="61"/>
      <c r="CN509" s="61"/>
      <c r="CO509" s="61"/>
      <c r="CP509" s="61"/>
      <c r="CQ509" s="61"/>
      <c r="CR509" s="61"/>
      <c r="CS509" s="61"/>
      <c r="CT509" s="61"/>
      <c r="CU509" s="61"/>
      <c r="CV509" s="61"/>
      <c r="CW509" s="61"/>
      <c r="CX509" s="61"/>
      <c r="CY509" s="61"/>
      <c r="CZ509" s="61"/>
      <c r="DA509" s="61"/>
      <c r="DB509" s="61"/>
      <c r="DC509" s="61"/>
      <c r="DD509" s="61"/>
      <c r="DE509" s="61"/>
      <c r="DF509" s="61"/>
      <c r="DG509" s="61"/>
      <c r="DH509" s="61"/>
      <c r="DI509" s="61"/>
      <c r="DJ509" s="61"/>
      <c r="DK509" s="61"/>
    </row>
    <row r="510" spans="1:115" ht="21" customHeight="1" x14ac:dyDescent="0.2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108"/>
      <c r="N510" s="108"/>
      <c r="O510" s="108"/>
      <c r="P510" s="108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1"/>
      <c r="CL510" s="61"/>
      <c r="CM510" s="61"/>
      <c r="CN510" s="61"/>
      <c r="CO510" s="61"/>
      <c r="CP510" s="61"/>
      <c r="CQ510" s="61"/>
      <c r="CR510" s="61"/>
      <c r="CS510" s="61"/>
      <c r="CT510" s="61"/>
      <c r="CU510" s="61"/>
      <c r="CV510" s="61"/>
      <c r="CW510" s="61"/>
      <c r="CX510" s="61"/>
      <c r="CY510" s="61"/>
      <c r="CZ510" s="61"/>
      <c r="DA510" s="61"/>
      <c r="DB510" s="61"/>
      <c r="DC510" s="61"/>
      <c r="DD510" s="61"/>
      <c r="DE510" s="61"/>
      <c r="DF510" s="61"/>
      <c r="DG510" s="61"/>
      <c r="DH510" s="61"/>
      <c r="DI510" s="61"/>
      <c r="DJ510" s="61"/>
      <c r="DK510" s="61"/>
    </row>
    <row r="511" spans="1:115" ht="21" customHeight="1" x14ac:dyDescent="0.2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108"/>
      <c r="N511" s="108"/>
      <c r="O511" s="108"/>
      <c r="P511" s="108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1"/>
      <c r="CL511" s="61"/>
      <c r="CM511" s="61"/>
      <c r="CN511" s="61"/>
      <c r="CO511" s="61"/>
      <c r="CP511" s="61"/>
      <c r="CQ511" s="61"/>
      <c r="CR511" s="61"/>
      <c r="CS511" s="61"/>
      <c r="CT511" s="61"/>
      <c r="CU511" s="61"/>
      <c r="CV511" s="61"/>
      <c r="CW511" s="61"/>
      <c r="CX511" s="61"/>
      <c r="CY511" s="61"/>
      <c r="CZ511" s="61"/>
      <c r="DA511" s="61"/>
      <c r="DB511" s="61"/>
      <c r="DC511" s="61"/>
      <c r="DD511" s="61"/>
      <c r="DE511" s="61"/>
      <c r="DF511" s="61"/>
      <c r="DG511" s="61"/>
      <c r="DH511" s="61"/>
      <c r="DI511" s="61"/>
      <c r="DJ511" s="61"/>
      <c r="DK511" s="61"/>
    </row>
    <row r="512" spans="1:115" ht="21" customHeight="1" x14ac:dyDescent="0.2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108"/>
      <c r="N512" s="108"/>
      <c r="O512" s="108"/>
      <c r="P512" s="108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1"/>
      <c r="CL512" s="61"/>
      <c r="CM512" s="61"/>
      <c r="CN512" s="61"/>
      <c r="CO512" s="61"/>
      <c r="CP512" s="61"/>
      <c r="CQ512" s="61"/>
      <c r="CR512" s="61"/>
      <c r="CS512" s="61"/>
      <c r="CT512" s="61"/>
      <c r="CU512" s="61"/>
      <c r="CV512" s="61"/>
      <c r="CW512" s="61"/>
      <c r="CX512" s="61"/>
      <c r="CY512" s="61"/>
      <c r="CZ512" s="61"/>
      <c r="DA512" s="61"/>
      <c r="DB512" s="61"/>
      <c r="DC512" s="61"/>
      <c r="DD512" s="61"/>
      <c r="DE512" s="61"/>
      <c r="DF512" s="61"/>
      <c r="DG512" s="61"/>
      <c r="DH512" s="61"/>
      <c r="DI512" s="61"/>
      <c r="DJ512" s="61"/>
      <c r="DK512" s="61"/>
    </row>
    <row r="513" spans="1:115" ht="21" customHeight="1" x14ac:dyDescent="0.2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108"/>
      <c r="N513" s="108"/>
      <c r="O513" s="108"/>
      <c r="P513" s="108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1"/>
      <c r="CL513" s="61"/>
      <c r="CM513" s="61"/>
      <c r="CN513" s="61"/>
      <c r="CO513" s="61"/>
      <c r="CP513" s="61"/>
      <c r="CQ513" s="61"/>
      <c r="CR513" s="61"/>
      <c r="CS513" s="61"/>
      <c r="CT513" s="61"/>
      <c r="CU513" s="61"/>
      <c r="CV513" s="61"/>
      <c r="CW513" s="61"/>
      <c r="CX513" s="61"/>
      <c r="CY513" s="61"/>
      <c r="CZ513" s="61"/>
      <c r="DA513" s="61"/>
      <c r="DB513" s="61"/>
      <c r="DC513" s="61"/>
      <c r="DD513" s="61"/>
      <c r="DE513" s="61"/>
      <c r="DF513" s="61"/>
      <c r="DG513" s="61"/>
      <c r="DH513" s="61"/>
      <c r="DI513" s="61"/>
      <c r="DJ513" s="61"/>
      <c r="DK513" s="61"/>
    </row>
    <row r="514" spans="1:115" ht="21" customHeight="1" x14ac:dyDescent="0.2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108"/>
      <c r="N514" s="108"/>
      <c r="O514" s="108"/>
      <c r="P514" s="108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1"/>
      <c r="CL514" s="61"/>
      <c r="CM514" s="61"/>
      <c r="CN514" s="61"/>
      <c r="CO514" s="61"/>
      <c r="CP514" s="61"/>
      <c r="CQ514" s="61"/>
      <c r="CR514" s="61"/>
      <c r="CS514" s="61"/>
      <c r="CT514" s="61"/>
      <c r="CU514" s="61"/>
      <c r="CV514" s="61"/>
      <c r="CW514" s="61"/>
      <c r="CX514" s="61"/>
      <c r="CY514" s="61"/>
      <c r="CZ514" s="61"/>
      <c r="DA514" s="61"/>
      <c r="DB514" s="61"/>
      <c r="DC514" s="61"/>
      <c r="DD514" s="61"/>
      <c r="DE514" s="61"/>
      <c r="DF514" s="61"/>
      <c r="DG514" s="61"/>
      <c r="DH514" s="61"/>
      <c r="DI514" s="61"/>
      <c r="DJ514" s="61"/>
      <c r="DK514" s="61"/>
    </row>
    <row r="515" spans="1:115" ht="21" customHeight="1" x14ac:dyDescent="0.2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108"/>
      <c r="N515" s="108"/>
      <c r="O515" s="108"/>
      <c r="P515" s="108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1"/>
      <c r="CL515" s="61"/>
      <c r="CM515" s="61"/>
      <c r="CN515" s="61"/>
      <c r="CO515" s="61"/>
      <c r="CP515" s="61"/>
      <c r="CQ515" s="61"/>
      <c r="CR515" s="61"/>
      <c r="CS515" s="61"/>
      <c r="CT515" s="61"/>
      <c r="CU515" s="61"/>
      <c r="CV515" s="61"/>
      <c r="CW515" s="61"/>
      <c r="CX515" s="61"/>
      <c r="CY515" s="61"/>
      <c r="CZ515" s="61"/>
      <c r="DA515" s="61"/>
      <c r="DB515" s="61"/>
      <c r="DC515" s="61"/>
      <c r="DD515" s="61"/>
      <c r="DE515" s="61"/>
      <c r="DF515" s="61"/>
      <c r="DG515" s="61"/>
      <c r="DH515" s="61"/>
      <c r="DI515" s="61"/>
      <c r="DJ515" s="61"/>
      <c r="DK515" s="61"/>
    </row>
    <row r="516" spans="1:115" ht="21" customHeight="1" x14ac:dyDescent="0.2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108"/>
      <c r="N516" s="108"/>
      <c r="O516" s="108"/>
      <c r="P516" s="108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1"/>
      <c r="CL516" s="61"/>
      <c r="CM516" s="61"/>
      <c r="CN516" s="61"/>
      <c r="CO516" s="61"/>
      <c r="CP516" s="61"/>
      <c r="CQ516" s="61"/>
      <c r="CR516" s="61"/>
      <c r="CS516" s="61"/>
      <c r="CT516" s="61"/>
      <c r="CU516" s="61"/>
      <c r="CV516" s="61"/>
      <c r="CW516" s="61"/>
      <c r="CX516" s="61"/>
      <c r="CY516" s="61"/>
      <c r="CZ516" s="61"/>
      <c r="DA516" s="61"/>
      <c r="DB516" s="61"/>
      <c r="DC516" s="61"/>
      <c r="DD516" s="61"/>
      <c r="DE516" s="61"/>
      <c r="DF516" s="61"/>
      <c r="DG516" s="61"/>
      <c r="DH516" s="61"/>
      <c r="DI516" s="61"/>
      <c r="DJ516" s="61"/>
      <c r="DK516" s="61"/>
    </row>
    <row r="517" spans="1:115" ht="21" customHeight="1" x14ac:dyDescent="0.2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108"/>
      <c r="N517" s="108"/>
      <c r="O517" s="108"/>
      <c r="P517" s="108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1"/>
      <c r="CK517" s="61"/>
      <c r="CL517" s="61"/>
      <c r="CM517" s="61"/>
      <c r="CN517" s="61"/>
      <c r="CO517" s="61"/>
      <c r="CP517" s="61"/>
      <c r="CQ517" s="61"/>
      <c r="CR517" s="61"/>
      <c r="CS517" s="61"/>
      <c r="CT517" s="61"/>
      <c r="CU517" s="61"/>
      <c r="CV517" s="61"/>
      <c r="CW517" s="61"/>
      <c r="CX517" s="61"/>
      <c r="CY517" s="61"/>
      <c r="CZ517" s="61"/>
      <c r="DA517" s="61"/>
      <c r="DB517" s="61"/>
      <c r="DC517" s="61"/>
      <c r="DD517" s="61"/>
      <c r="DE517" s="61"/>
      <c r="DF517" s="61"/>
      <c r="DG517" s="61"/>
      <c r="DH517" s="61"/>
      <c r="DI517" s="61"/>
      <c r="DJ517" s="61"/>
      <c r="DK517" s="61"/>
    </row>
    <row r="518" spans="1:115" ht="21" customHeight="1" x14ac:dyDescent="0.2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108"/>
      <c r="N518" s="108"/>
      <c r="O518" s="108"/>
      <c r="P518" s="108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1"/>
      <c r="CL518" s="61"/>
      <c r="CM518" s="61"/>
      <c r="CN518" s="61"/>
      <c r="CO518" s="61"/>
      <c r="CP518" s="61"/>
      <c r="CQ518" s="61"/>
      <c r="CR518" s="61"/>
      <c r="CS518" s="61"/>
      <c r="CT518" s="61"/>
      <c r="CU518" s="61"/>
      <c r="CV518" s="61"/>
      <c r="CW518" s="61"/>
      <c r="CX518" s="61"/>
      <c r="CY518" s="61"/>
      <c r="CZ518" s="61"/>
      <c r="DA518" s="61"/>
      <c r="DB518" s="61"/>
      <c r="DC518" s="61"/>
      <c r="DD518" s="61"/>
      <c r="DE518" s="61"/>
      <c r="DF518" s="61"/>
      <c r="DG518" s="61"/>
      <c r="DH518" s="61"/>
      <c r="DI518" s="61"/>
      <c r="DJ518" s="61"/>
      <c r="DK518" s="61"/>
    </row>
    <row r="519" spans="1:115" ht="21" customHeight="1" x14ac:dyDescent="0.2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108"/>
      <c r="N519" s="108"/>
      <c r="O519" s="108"/>
      <c r="P519" s="108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1"/>
      <c r="CL519" s="61"/>
      <c r="CM519" s="61"/>
      <c r="CN519" s="61"/>
      <c r="CO519" s="61"/>
      <c r="CP519" s="61"/>
      <c r="CQ519" s="61"/>
      <c r="CR519" s="61"/>
      <c r="CS519" s="61"/>
      <c r="CT519" s="61"/>
      <c r="CU519" s="61"/>
      <c r="CV519" s="61"/>
      <c r="CW519" s="61"/>
      <c r="CX519" s="61"/>
      <c r="CY519" s="61"/>
      <c r="CZ519" s="61"/>
      <c r="DA519" s="61"/>
      <c r="DB519" s="61"/>
      <c r="DC519" s="61"/>
      <c r="DD519" s="61"/>
      <c r="DE519" s="61"/>
      <c r="DF519" s="61"/>
      <c r="DG519" s="61"/>
      <c r="DH519" s="61"/>
      <c r="DI519" s="61"/>
      <c r="DJ519" s="61"/>
      <c r="DK519" s="61"/>
    </row>
    <row r="520" spans="1:115" ht="21" customHeight="1" x14ac:dyDescent="0.2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108"/>
      <c r="N520" s="108"/>
      <c r="O520" s="108"/>
      <c r="P520" s="108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1"/>
      <c r="CL520" s="61"/>
      <c r="CM520" s="61"/>
      <c r="CN520" s="61"/>
      <c r="CO520" s="61"/>
      <c r="CP520" s="61"/>
      <c r="CQ520" s="61"/>
      <c r="CR520" s="61"/>
      <c r="CS520" s="61"/>
      <c r="CT520" s="61"/>
      <c r="CU520" s="61"/>
      <c r="CV520" s="61"/>
      <c r="CW520" s="61"/>
      <c r="CX520" s="61"/>
      <c r="CY520" s="61"/>
      <c r="CZ520" s="61"/>
      <c r="DA520" s="61"/>
      <c r="DB520" s="61"/>
      <c r="DC520" s="61"/>
      <c r="DD520" s="61"/>
      <c r="DE520" s="61"/>
      <c r="DF520" s="61"/>
      <c r="DG520" s="61"/>
      <c r="DH520" s="61"/>
      <c r="DI520" s="61"/>
      <c r="DJ520" s="61"/>
      <c r="DK520" s="61"/>
    </row>
    <row r="521" spans="1:115" ht="21" customHeight="1" x14ac:dyDescent="0.2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108"/>
      <c r="N521" s="108"/>
      <c r="O521" s="108"/>
      <c r="P521" s="108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1"/>
      <c r="CL521" s="61"/>
      <c r="CM521" s="61"/>
      <c r="CN521" s="61"/>
      <c r="CO521" s="61"/>
      <c r="CP521" s="61"/>
      <c r="CQ521" s="61"/>
      <c r="CR521" s="61"/>
      <c r="CS521" s="61"/>
      <c r="CT521" s="61"/>
      <c r="CU521" s="61"/>
      <c r="CV521" s="61"/>
      <c r="CW521" s="61"/>
      <c r="CX521" s="61"/>
      <c r="CY521" s="61"/>
      <c r="CZ521" s="61"/>
      <c r="DA521" s="61"/>
      <c r="DB521" s="61"/>
      <c r="DC521" s="61"/>
      <c r="DD521" s="61"/>
      <c r="DE521" s="61"/>
      <c r="DF521" s="61"/>
      <c r="DG521" s="61"/>
      <c r="DH521" s="61"/>
      <c r="DI521" s="61"/>
      <c r="DJ521" s="61"/>
      <c r="DK521" s="61"/>
    </row>
    <row r="522" spans="1:115" ht="21" customHeight="1" x14ac:dyDescent="0.2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108"/>
      <c r="N522" s="108"/>
      <c r="O522" s="108"/>
      <c r="P522" s="108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1"/>
      <c r="CL522" s="61"/>
      <c r="CM522" s="61"/>
      <c r="CN522" s="61"/>
      <c r="CO522" s="61"/>
      <c r="CP522" s="61"/>
      <c r="CQ522" s="61"/>
      <c r="CR522" s="61"/>
      <c r="CS522" s="61"/>
      <c r="CT522" s="61"/>
      <c r="CU522" s="61"/>
      <c r="CV522" s="61"/>
      <c r="CW522" s="61"/>
      <c r="CX522" s="61"/>
      <c r="CY522" s="61"/>
      <c r="CZ522" s="61"/>
      <c r="DA522" s="61"/>
      <c r="DB522" s="61"/>
      <c r="DC522" s="61"/>
      <c r="DD522" s="61"/>
      <c r="DE522" s="61"/>
      <c r="DF522" s="61"/>
      <c r="DG522" s="61"/>
      <c r="DH522" s="61"/>
      <c r="DI522" s="61"/>
      <c r="DJ522" s="61"/>
      <c r="DK522" s="61"/>
    </row>
    <row r="523" spans="1:115" ht="21" customHeight="1" x14ac:dyDescent="0.2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108"/>
      <c r="N523" s="108"/>
      <c r="O523" s="108"/>
      <c r="P523" s="108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1"/>
      <c r="CL523" s="61"/>
      <c r="CM523" s="61"/>
      <c r="CN523" s="61"/>
      <c r="CO523" s="61"/>
      <c r="CP523" s="61"/>
      <c r="CQ523" s="61"/>
      <c r="CR523" s="61"/>
      <c r="CS523" s="61"/>
      <c r="CT523" s="61"/>
      <c r="CU523" s="61"/>
      <c r="CV523" s="61"/>
      <c r="CW523" s="61"/>
      <c r="CX523" s="61"/>
      <c r="CY523" s="61"/>
      <c r="CZ523" s="61"/>
      <c r="DA523" s="61"/>
      <c r="DB523" s="61"/>
      <c r="DC523" s="61"/>
      <c r="DD523" s="61"/>
      <c r="DE523" s="61"/>
      <c r="DF523" s="61"/>
      <c r="DG523" s="61"/>
      <c r="DH523" s="61"/>
      <c r="DI523" s="61"/>
      <c r="DJ523" s="61"/>
      <c r="DK523" s="61"/>
    </row>
    <row r="524" spans="1:115" ht="21" customHeight="1" x14ac:dyDescent="0.2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108"/>
      <c r="N524" s="108"/>
      <c r="O524" s="108"/>
      <c r="P524" s="108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1"/>
      <c r="CL524" s="61"/>
      <c r="CM524" s="61"/>
      <c r="CN524" s="61"/>
      <c r="CO524" s="61"/>
      <c r="CP524" s="61"/>
      <c r="CQ524" s="61"/>
      <c r="CR524" s="61"/>
      <c r="CS524" s="61"/>
      <c r="CT524" s="61"/>
      <c r="CU524" s="61"/>
      <c r="CV524" s="61"/>
      <c r="CW524" s="61"/>
      <c r="CX524" s="61"/>
      <c r="CY524" s="61"/>
      <c r="CZ524" s="61"/>
      <c r="DA524" s="61"/>
      <c r="DB524" s="61"/>
      <c r="DC524" s="61"/>
      <c r="DD524" s="61"/>
      <c r="DE524" s="61"/>
      <c r="DF524" s="61"/>
      <c r="DG524" s="61"/>
      <c r="DH524" s="61"/>
      <c r="DI524" s="61"/>
      <c r="DJ524" s="61"/>
      <c r="DK524" s="61"/>
    </row>
    <row r="525" spans="1:115" ht="21" customHeight="1" x14ac:dyDescent="0.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108"/>
      <c r="N525" s="108"/>
      <c r="O525" s="108"/>
      <c r="P525" s="108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1"/>
      <c r="CL525" s="61"/>
      <c r="CM525" s="61"/>
      <c r="CN525" s="61"/>
      <c r="CO525" s="61"/>
      <c r="CP525" s="61"/>
      <c r="CQ525" s="61"/>
      <c r="CR525" s="61"/>
      <c r="CS525" s="61"/>
      <c r="CT525" s="61"/>
      <c r="CU525" s="61"/>
      <c r="CV525" s="61"/>
      <c r="CW525" s="61"/>
      <c r="CX525" s="61"/>
      <c r="CY525" s="61"/>
      <c r="CZ525" s="61"/>
      <c r="DA525" s="61"/>
      <c r="DB525" s="61"/>
      <c r="DC525" s="61"/>
      <c r="DD525" s="61"/>
      <c r="DE525" s="61"/>
      <c r="DF525" s="61"/>
      <c r="DG525" s="61"/>
      <c r="DH525" s="61"/>
      <c r="DI525" s="61"/>
      <c r="DJ525" s="61"/>
      <c r="DK525" s="61"/>
    </row>
    <row r="526" spans="1:115" ht="21" customHeight="1" x14ac:dyDescent="0.2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108"/>
      <c r="N526" s="108"/>
      <c r="O526" s="108"/>
      <c r="P526" s="108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1"/>
      <c r="CL526" s="61"/>
      <c r="CM526" s="61"/>
      <c r="CN526" s="61"/>
      <c r="CO526" s="61"/>
      <c r="CP526" s="61"/>
      <c r="CQ526" s="61"/>
      <c r="CR526" s="61"/>
      <c r="CS526" s="61"/>
      <c r="CT526" s="61"/>
      <c r="CU526" s="61"/>
      <c r="CV526" s="61"/>
      <c r="CW526" s="61"/>
      <c r="CX526" s="61"/>
      <c r="CY526" s="61"/>
      <c r="CZ526" s="61"/>
      <c r="DA526" s="61"/>
      <c r="DB526" s="61"/>
      <c r="DC526" s="61"/>
      <c r="DD526" s="61"/>
      <c r="DE526" s="61"/>
      <c r="DF526" s="61"/>
      <c r="DG526" s="61"/>
      <c r="DH526" s="61"/>
      <c r="DI526" s="61"/>
      <c r="DJ526" s="61"/>
      <c r="DK526" s="61"/>
    </row>
    <row r="527" spans="1:115" ht="21" customHeight="1" x14ac:dyDescent="0.2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108"/>
      <c r="N527" s="108"/>
      <c r="O527" s="108"/>
      <c r="P527" s="108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1"/>
      <c r="CL527" s="61"/>
      <c r="CM527" s="61"/>
      <c r="CN527" s="61"/>
      <c r="CO527" s="61"/>
      <c r="CP527" s="61"/>
      <c r="CQ527" s="61"/>
      <c r="CR527" s="61"/>
      <c r="CS527" s="61"/>
      <c r="CT527" s="61"/>
      <c r="CU527" s="61"/>
      <c r="CV527" s="61"/>
      <c r="CW527" s="61"/>
      <c r="CX527" s="61"/>
      <c r="CY527" s="61"/>
      <c r="CZ527" s="61"/>
      <c r="DA527" s="61"/>
      <c r="DB527" s="61"/>
      <c r="DC527" s="61"/>
      <c r="DD527" s="61"/>
      <c r="DE527" s="61"/>
      <c r="DF527" s="61"/>
      <c r="DG527" s="61"/>
      <c r="DH527" s="61"/>
      <c r="DI527" s="61"/>
      <c r="DJ527" s="61"/>
      <c r="DK527" s="61"/>
    </row>
    <row r="528" spans="1:115" ht="21" customHeight="1" x14ac:dyDescent="0.2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108"/>
      <c r="N528" s="108"/>
      <c r="O528" s="108"/>
      <c r="P528" s="108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1"/>
      <c r="CL528" s="61"/>
      <c r="CM528" s="61"/>
      <c r="CN528" s="61"/>
      <c r="CO528" s="61"/>
      <c r="CP528" s="61"/>
      <c r="CQ528" s="61"/>
      <c r="CR528" s="61"/>
      <c r="CS528" s="61"/>
      <c r="CT528" s="61"/>
      <c r="CU528" s="61"/>
      <c r="CV528" s="61"/>
      <c r="CW528" s="61"/>
      <c r="CX528" s="61"/>
      <c r="CY528" s="61"/>
      <c r="CZ528" s="61"/>
      <c r="DA528" s="61"/>
      <c r="DB528" s="61"/>
      <c r="DC528" s="61"/>
      <c r="DD528" s="61"/>
      <c r="DE528" s="61"/>
      <c r="DF528" s="61"/>
      <c r="DG528" s="61"/>
      <c r="DH528" s="61"/>
      <c r="DI528" s="61"/>
      <c r="DJ528" s="61"/>
      <c r="DK528" s="61"/>
    </row>
    <row r="529" spans="1:115" ht="21" customHeight="1" x14ac:dyDescent="0.2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108"/>
      <c r="N529" s="108"/>
      <c r="O529" s="108"/>
      <c r="P529" s="108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  <c r="CN529" s="61"/>
      <c r="CO529" s="61"/>
      <c r="CP529" s="61"/>
      <c r="CQ529" s="61"/>
      <c r="CR529" s="61"/>
      <c r="CS529" s="61"/>
      <c r="CT529" s="61"/>
      <c r="CU529" s="61"/>
      <c r="CV529" s="61"/>
      <c r="CW529" s="61"/>
      <c r="CX529" s="61"/>
      <c r="CY529" s="61"/>
      <c r="CZ529" s="61"/>
      <c r="DA529" s="61"/>
      <c r="DB529" s="61"/>
      <c r="DC529" s="61"/>
      <c r="DD529" s="61"/>
      <c r="DE529" s="61"/>
      <c r="DF529" s="61"/>
      <c r="DG529" s="61"/>
      <c r="DH529" s="61"/>
      <c r="DI529" s="61"/>
      <c r="DJ529" s="61"/>
      <c r="DK529" s="61"/>
    </row>
    <row r="530" spans="1:115" ht="21" customHeight="1" x14ac:dyDescent="0.2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108"/>
      <c r="N530" s="108"/>
      <c r="O530" s="108"/>
      <c r="P530" s="108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  <c r="CN530" s="61"/>
      <c r="CO530" s="61"/>
      <c r="CP530" s="61"/>
      <c r="CQ530" s="61"/>
      <c r="CR530" s="61"/>
      <c r="CS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61"/>
      <c r="DH530" s="61"/>
      <c r="DI530" s="61"/>
      <c r="DJ530" s="61"/>
      <c r="DK530" s="61"/>
    </row>
    <row r="531" spans="1:115" ht="21" customHeight="1" x14ac:dyDescent="0.2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108"/>
      <c r="N531" s="108"/>
      <c r="O531" s="108"/>
      <c r="P531" s="108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  <c r="CP531" s="61"/>
      <c r="CQ531" s="61"/>
      <c r="CR531" s="61"/>
      <c r="CS531" s="61"/>
      <c r="CT531" s="61"/>
      <c r="CU531" s="61"/>
      <c r="CV531" s="61"/>
      <c r="CW531" s="61"/>
      <c r="CX531" s="61"/>
      <c r="CY531" s="61"/>
      <c r="CZ531" s="61"/>
      <c r="DA531" s="61"/>
      <c r="DB531" s="61"/>
      <c r="DC531" s="61"/>
      <c r="DD531" s="61"/>
      <c r="DE531" s="61"/>
      <c r="DF531" s="61"/>
      <c r="DG531" s="61"/>
      <c r="DH531" s="61"/>
      <c r="DI531" s="61"/>
      <c r="DJ531" s="61"/>
      <c r="DK531" s="61"/>
    </row>
    <row r="532" spans="1:115" ht="21" customHeight="1" x14ac:dyDescent="0.2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108"/>
      <c r="N532" s="108"/>
      <c r="O532" s="108"/>
      <c r="P532" s="108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  <c r="CM532" s="61"/>
      <c r="CN532" s="61"/>
      <c r="CO532" s="61"/>
      <c r="CP532" s="61"/>
      <c r="CQ532" s="61"/>
      <c r="CR532" s="61"/>
      <c r="CS532" s="61"/>
      <c r="CT532" s="61"/>
      <c r="CU532" s="61"/>
      <c r="CV532" s="61"/>
      <c r="CW532" s="61"/>
      <c r="CX532" s="61"/>
      <c r="CY532" s="61"/>
      <c r="CZ532" s="61"/>
      <c r="DA532" s="61"/>
      <c r="DB532" s="61"/>
      <c r="DC532" s="61"/>
      <c r="DD532" s="61"/>
      <c r="DE532" s="61"/>
      <c r="DF532" s="61"/>
      <c r="DG532" s="61"/>
      <c r="DH532" s="61"/>
      <c r="DI532" s="61"/>
      <c r="DJ532" s="61"/>
      <c r="DK532" s="61"/>
    </row>
    <row r="533" spans="1:115" ht="21" customHeight="1" x14ac:dyDescent="0.2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108"/>
      <c r="N533" s="108"/>
      <c r="O533" s="108"/>
      <c r="P533" s="108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  <c r="CD533" s="61"/>
      <c r="CE533" s="61"/>
      <c r="CF533" s="61"/>
      <c r="CG533" s="61"/>
      <c r="CH533" s="61"/>
      <c r="CI533" s="61"/>
      <c r="CJ533" s="61"/>
      <c r="CK533" s="61"/>
      <c r="CL533" s="61"/>
      <c r="CM533" s="61"/>
      <c r="CN533" s="61"/>
      <c r="CO533" s="61"/>
      <c r="CP533" s="61"/>
      <c r="CQ533" s="61"/>
      <c r="CR533" s="61"/>
      <c r="CS533" s="61"/>
      <c r="CT533" s="61"/>
      <c r="CU533" s="61"/>
      <c r="CV533" s="61"/>
      <c r="CW533" s="61"/>
      <c r="CX533" s="61"/>
      <c r="CY533" s="61"/>
      <c r="CZ533" s="61"/>
      <c r="DA533" s="61"/>
      <c r="DB533" s="61"/>
      <c r="DC533" s="61"/>
      <c r="DD533" s="61"/>
      <c r="DE533" s="61"/>
      <c r="DF533" s="61"/>
      <c r="DG533" s="61"/>
      <c r="DH533" s="61"/>
      <c r="DI533" s="61"/>
      <c r="DJ533" s="61"/>
      <c r="DK533" s="61"/>
    </row>
    <row r="534" spans="1:115" ht="21" customHeight="1" x14ac:dyDescent="0.2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108"/>
      <c r="N534" s="108"/>
      <c r="O534" s="108"/>
      <c r="P534" s="108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  <c r="CD534" s="61"/>
      <c r="CE534" s="61"/>
      <c r="CF534" s="61"/>
      <c r="CG534" s="61"/>
      <c r="CH534" s="61"/>
      <c r="CI534" s="61"/>
      <c r="CJ534" s="61"/>
      <c r="CK534" s="61"/>
      <c r="CL534" s="61"/>
      <c r="CM534" s="61"/>
      <c r="CN534" s="61"/>
      <c r="CO534" s="61"/>
      <c r="CP534" s="61"/>
      <c r="CQ534" s="61"/>
      <c r="CR534" s="61"/>
      <c r="CS534" s="61"/>
      <c r="CT534" s="61"/>
      <c r="CU534" s="61"/>
      <c r="CV534" s="61"/>
      <c r="CW534" s="61"/>
      <c r="CX534" s="61"/>
      <c r="CY534" s="61"/>
      <c r="CZ534" s="61"/>
      <c r="DA534" s="61"/>
      <c r="DB534" s="61"/>
      <c r="DC534" s="61"/>
      <c r="DD534" s="61"/>
      <c r="DE534" s="61"/>
      <c r="DF534" s="61"/>
      <c r="DG534" s="61"/>
      <c r="DH534" s="61"/>
      <c r="DI534" s="61"/>
      <c r="DJ534" s="61"/>
      <c r="DK534" s="61"/>
    </row>
    <row r="535" spans="1:115" ht="21" customHeight="1" x14ac:dyDescent="0.2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108"/>
      <c r="N535" s="108"/>
      <c r="O535" s="108"/>
      <c r="P535" s="108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  <c r="CD535" s="61"/>
      <c r="CE535" s="61"/>
      <c r="CF535" s="61"/>
      <c r="CG535" s="61"/>
      <c r="CH535" s="61"/>
      <c r="CI535" s="61"/>
      <c r="CJ535" s="61"/>
      <c r="CK535" s="61"/>
      <c r="CL535" s="61"/>
      <c r="CM535" s="61"/>
      <c r="CN535" s="61"/>
      <c r="CO535" s="61"/>
      <c r="CP535" s="61"/>
      <c r="CQ535" s="61"/>
      <c r="CR535" s="61"/>
      <c r="CS535" s="61"/>
      <c r="CT535" s="61"/>
      <c r="CU535" s="61"/>
      <c r="CV535" s="61"/>
      <c r="CW535" s="61"/>
      <c r="CX535" s="61"/>
      <c r="CY535" s="61"/>
      <c r="CZ535" s="61"/>
      <c r="DA535" s="61"/>
      <c r="DB535" s="61"/>
      <c r="DC535" s="61"/>
      <c r="DD535" s="61"/>
      <c r="DE535" s="61"/>
      <c r="DF535" s="61"/>
      <c r="DG535" s="61"/>
      <c r="DH535" s="61"/>
      <c r="DI535" s="61"/>
      <c r="DJ535" s="61"/>
      <c r="DK535" s="61"/>
    </row>
    <row r="536" spans="1:115" ht="21" customHeight="1" x14ac:dyDescent="0.2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108"/>
      <c r="N536" s="108"/>
      <c r="O536" s="108"/>
      <c r="P536" s="108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  <c r="CD536" s="61"/>
      <c r="CE536" s="61"/>
      <c r="CF536" s="61"/>
      <c r="CG536" s="61"/>
      <c r="CH536" s="61"/>
      <c r="CI536" s="61"/>
      <c r="CJ536" s="61"/>
      <c r="CK536" s="61"/>
      <c r="CL536" s="61"/>
      <c r="CM536" s="61"/>
      <c r="CN536" s="61"/>
      <c r="CO536" s="61"/>
      <c r="CP536" s="61"/>
      <c r="CQ536" s="61"/>
      <c r="CR536" s="61"/>
      <c r="CS536" s="61"/>
      <c r="CT536" s="61"/>
      <c r="CU536" s="61"/>
      <c r="CV536" s="61"/>
      <c r="CW536" s="61"/>
      <c r="CX536" s="61"/>
      <c r="CY536" s="61"/>
      <c r="CZ536" s="61"/>
      <c r="DA536" s="61"/>
      <c r="DB536" s="61"/>
      <c r="DC536" s="61"/>
      <c r="DD536" s="61"/>
      <c r="DE536" s="61"/>
      <c r="DF536" s="61"/>
      <c r="DG536" s="61"/>
      <c r="DH536" s="61"/>
      <c r="DI536" s="61"/>
      <c r="DJ536" s="61"/>
      <c r="DK536" s="61"/>
    </row>
    <row r="537" spans="1:115" ht="21" customHeight="1" x14ac:dyDescent="0.2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108"/>
      <c r="N537" s="108"/>
      <c r="O537" s="108"/>
      <c r="P537" s="108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  <c r="CD537" s="61"/>
      <c r="CE537" s="61"/>
      <c r="CF537" s="61"/>
      <c r="CG537" s="61"/>
      <c r="CH537" s="61"/>
      <c r="CI537" s="61"/>
      <c r="CJ537" s="61"/>
      <c r="CK537" s="61"/>
      <c r="CL537" s="61"/>
      <c r="CM537" s="61"/>
      <c r="CN537" s="61"/>
      <c r="CO537" s="61"/>
      <c r="CP537" s="61"/>
      <c r="CQ537" s="61"/>
      <c r="CR537" s="61"/>
      <c r="CS537" s="61"/>
      <c r="CT537" s="61"/>
      <c r="CU537" s="61"/>
      <c r="CV537" s="61"/>
      <c r="CW537" s="61"/>
      <c r="CX537" s="61"/>
      <c r="CY537" s="61"/>
      <c r="CZ537" s="61"/>
      <c r="DA537" s="61"/>
      <c r="DB537" s="61"/>
      <c r="DC537" s="61"/>
      <c r="DD537" s="61"/>
      <c r="DE537" s="61"/>
      <c r="DF537" s="61"/>
      <c r="DG537" s="61"/>
      <c r="DH537" s="61"/>
      <c r="DI537" s="61"/>
      <c r="DJ537" s="61"/>
      <c r="DK537" s="61"/>
    </row>
    <row r="538" spans="1:115" ht="21" customHeight="1" x14ac:dyDescent="0.2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108"/>
      <c r="N538" s="108"/>
      <c r="O538" s="108"/>
      <c r="P538" s="108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  <c r="CD538" s="61"/>
      <c r="CE538" s="61"/>
      <c r="CF538" s="61"/>
      <c r="CG538" s="61"/>
      <c r="CH538" s="61"/>
      <c r="CI538" s="61"/>
      <c r="CJ538" s="61"/>
      <c r="CK538" s="61"/>
      <c r="CL538" s="61"/>
      <c r="CM538" s="61"/>
      <c r="CN538" s="61"/>
      <c r="CO538" s="61"/>
      <c r="CP538" s="61"/>
      <c r="CQ538" s="61"/>
      <c r="CR538" s="61"/>
      <c r="CS538" s="61"/>
      <c r="CT538" s="61"/>
      <c r="CU538" s="61"/>
      <c r="CV538" s="61"/>
      <c r="CW538" s="61"/>
      <c r="CX538" s="61"/>
      <c r="CY538" s="61"/>
      <c r="CZ538" s="61"/>
      <c r="DA538" s="61"/>
      <c r="DB538" s="61"/>
      <c r="DC538" s="61"/>
      <c r="DD538" s="61"/>
      <c r="DE538" s="61"/>
      <c r="DF538" s="61"/>
      <c r="DG538" s="61"/>
      <c r="DH538" s="61"/>
      <c r="DI538" s="61"/>
      <c r="DJ538" s="61"/>
      <c r="DK538" s="61"/>
    </row>
    <row r="539" spans="1:115" ht="21" customHeight="1" x14ac:dyDescent="0.2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108"/>
      <c r="N539" s="108"/>
      <c r="O539" s="108"/>
      <c r="P539" s="108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  <c r="BZ539" s="61"/>
      <c r="CA539" s="61"/>
      <c r="CB539" s="61"/>
      <c r="CC539" s="61"/>
      <c r="CD539" s="61"/>
      <c r="CE539" s="61"/>
      <c r="CF539" s="61"/>
      <c r="CG539" s="61"/>
      <c r="CH539" s="61"/>
      <c r="CI539" s="61"/>
      <c r="CJ539" s="61"/>
      <c r="CK539" s="61"/>
      <c r="CL539" s="61"/>
      <c r="CM539" s="61"/>
      <c r="CN539" s="61"/>
      <c r="CO539" s="61"/>
      <c r="CP539" s="61"/>
      <c r="CQ539" s="61"/>
      <c r="CR539" s="61"/>
      <c r="CS539" s="61"/>
      <c r="CT539" s="61"/>
      <c r="CU539" s="61"/>
      <c r="CV539" s="61"/>
      <c r="CW539" s="61"/>
      <c r="CX539" s="61"/>
      <c r="CY539" s="61"/>
      <c r="CZ539" s="61"/>
      <c r="DA539" s="61"/>
      <c r="DB539" s="61"/>
      <c r="DC539" s="61"/>
      <c r="DD539" s="61"/>
      <c r="DE539" s="61"/>
      <c r="DF539" s="61"/>
      <c r="DG539" s="61"/>
      <c r="DH539" s="61"/>
      <c r="DI539" s="61"/>
      <c r="DJ539" s="61"/>
      <c r="DK539" s="61"/>
    </row>
    <row r="540" spans="1:115" ht="21" customHeight="1" x14ac:dyDescent="0.2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108"/>
      <c r="N540" s="108"/>
      <c r="O540" s="108"/>
      <c r="P540" s="108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  <c r="CD540" s="61"/>
      <c r="CE540" s="61"/>
      <c r="CF540" s="61"/>
      <c r="CG540" s="61"/>
      <c r="CH540" s="61"/>
      <c r="CI540" s="61"/>
      <c r="CJ540" s="61"/>
      <c r="CK540" s="61"/>
      <c r="CL540" s="61"/>
      <c r="CM540" s="61"/>
      <c r="CN540" s="61"/>
      <c r="CO540" s="61"/>
      <c r="CP540" s="61"/>
      <c r="CQ540" s="61"/>
      <c r="CR540" s="61"/>
      <c r="CS540" s="61"/>
      <c r="CT540" s="61"/>
      <c r="CU540" s="61"/>
      <c r="CV540" s="61"/>
      <c r="CW540" s="61"/>
      <c r="CX540" s="61"/>
      <c r="CY540" s="61"/>
      <c r="CZ540" s="61"/>
      <c r="DA540" s="61"/>
      <c r="DB540" s="61"/>
      <c r="DC540" s="61"/>
      <c r="DD540" s="61"/>
      <c r="DE540" s="61"/>
      <c r="DF540" s="61"/>
      <c r="DG540" s="61"/>
      <c r="DH540" s="61"/>
      <c r="DI540" s="61"/>
      <c r="DJ540" s="61"/>
      <c r="DK540" s="61"/>
    </row>
    <row r="541" spans="1:115" ht="21" customHeight="1" x14ac:dyDescent="0.2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108"/>
      <c r="N541" s="108"/>
      <c r="O541" s="108"/>
      <c r="P541" s="108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  <c r="CD541" s="61"/>
      <c r="CE541" s="61"/>
      <c r="CF541" s="61"/>
      <c r="CG541" s="61"/>
      <c r="CH541" s="61"/>
      <c r="CI541" s="61"/>
      <c r="CJ541" s="61"/>
      <c r="CK541" s="61"/>
      <c r="CL541" s="61"/>
      <c r="CM541" s="61"/>
      <c r="CN541" s="61"/>
      <c r="CO541" s="61"/>
      <c r="CP541" s="61"/>
      <c r="CQ541" s="61"/>
      <c r="CR541" s="61"/>
      <c r="CS541" s="61"/>
      <c r="CT541" s="61"/>
      <c r="CU541" s="61"/>
      <c r="CV541" s="61"/>
      <c r="CW541" s="61"/>
      <c r="CX541" s="61"/>
      <c r="CY541" s="61"/>
      <c r="CZ541" s="61"/>
      <c r="DA541" s="61"/>
      <c r="DB541" s="61"/>
      <c r="DC541" s="61"/>
      <c r="DD541" s="61"/>
      <c r="DE541" s="61"/>
      <c r="DF541" s="61"/>
      <c r="DG541" s="61"/>
      <c r="DH541" s="61"/>
      <c r="DI541" s="61"/>
      <c r="DJ541" s="61"/>
      <c r="DK541" s="61"/>
    </row>
    <row r="542" spans="1:115" ht="21" customHeight="1" x14ac:dyDescent="0.2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108"/>
      <c r="N542" s="108"/>
      <c r="O542" s="108"/>
      <c r="P542" s="108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  <c r="CD542" s="61"/>
      <c r="CE542" s="61"/>
      <c r="CF542" s="61"/>
      <c r="CG542" s="61"/>
      <c r="CH542" s="61"/>
      <c r="CI542" s="61"/>
      <c r="CJ542" s="61"/>
      <c r="CK542" s="61"/>
      <c r="CL542" s="61"/>
      <c r="CM542" s="61"/>
      <c r="CN542" s="61"/>
      <c r="CO542" s="61"/>
      <c r="CP542" s="61"/>
      <c r="CQ542" s="61"/>
      <c r="CR542" s="61"/>
      <c r="CS542" s="61"/>
      <c r="CT542" s="61"/>
      <c r="CU542" s="61"/>
      <c r="CV542" s="61"/>
      <c r="CW542" s="61"/>
      <c r="CX542" s="61"/>
      <c r="CY542" s="61"/>
      <c r="CZ542" s="61"/>
      <c r="DA542" s="61"/>
      <c r="DB542" s="61"/>
      <c r="DC542" s="61"/>
      <c r="DD542" s="61"/>
      <c r="DE542" s="61"/>
      <c r="DF542" s="61"/>
      <c r="DG542" s="61"/>
      <c r="DH542" s="61"/>
      <c r="DI542" s="61"/>
      <c r="DJ542" s="61"/>
      <c r="DK542" s="61"/>
    </row>
    <row r="543" spans="1:115" ht="21" customHeight="1" x14ac:dyDescent="0.2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108"/>
      <c r="N543" s="108"/>
      <c r="O543" s="108"/>
      <c r="P543" s="108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  <c r="CD543" s="61"/>
      <c r="CE543" s="61"/>
      <c r="CF543" s="61"/>
      <c r="CG543" s="61"/>
      <c r="CH543" s="61"/>
      <c r="CI543" s="61"/>
      <c r="CJ543" s="61"/>
      <c r="CK543" s="61"/>
      <c r="CL543" s="61"/>
      <c r="CM543" s="61"/>
      <c r="CN543" s="61"/>
      <c r="CO543" s="61"/>
      <c r="CP543" s="61"/>
      <c r="CQ543" s="61"/>
      <c r="CR543" s="61"/>
      <c r="CS543" s="61"/>
      <c r="CT543" s="61"/>
      <c r="CU543" s="61"/>
      <c r="CV543" s="61"/>
      <c r="CW543" s="61"/>
      <c r="CX543" s="61"/>
      <c r="CY543" s="61"/>
      <c r="CZ543" s="61"/>
      <c r="DA543" s="61"/>
      <c r="DB543" s="61"/>
      <c r="DC543" s="61"/>
      <c r="DD543" s="61"/>
      <c r="DE543" s="61"/>
      <c r="DF543" s="61"/>
      <c r="DG543" s="61"/>
      <c r="DH543" s="61"/>
      <c r="DI543" s="61"/>
      <c r="DJ543" s="61"/>
      <c r="DK543" s="61"/>
    </row>
    <row r="544" spans="1:115" ht="21" customHeight="1" x14ac:dyDescent="0.2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108"/>
      <c r="N544" s="108"/>
      <c r="O544" s="108"/>
      <c r="P544" s="108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  <c r="CD544" s="61"/>
      <c r="CE544" s="61"/>
      <c r="CF544" s="61"/>
      <c r="CG544" s="61"/>
      <c r="CH544" s="61"/>
      <c r="CI544" s="61"/>
      <c r="CJ544" s="61"/>
      <c r="CK544" s="61"/>
      <c r="CL544" s="61"/>
      <c r="CM544" s="61"/>
      <c r="CN544" s="61"/>
      <c r="CO544" s="61"/>
      <c r="CP544" s="61"/>
      <c r="CQ544" s="61"/>
      <c r="CR544" s="61"/>
      <c r="CS544" s="61"/>
      <c r="CT544" s="61"/>
      <c r="CU544" s="61"/>
      <c r="CV544" s="61"/>
      <c r="CW544" s="61"/>
      <c r="CX544" s="61"/>
      <c r="CY544" s="61"/>
      <c r="CZ544" s="61"/>
      <c r="DA544" s="61"/>
      <c r="DB544" s="61"/>
      <c r="DC544" s="61"/>
      <c r="DD544" s="61"/>
      <c r="DE544" s="61"/>
      <c r="DF544" s="61"/>
      <c r="DG544" s="61"/>
      <c r="DH544" s="61"/>
      <c r="DI544" s="61"/>
      <c r="DJ544" s="61"/>
      <c r="DK544" s="61"/>
    </row>
    <row r="545" spans="1:115" ht="21" customHeight="1" x14ac:dyDescent="0.2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108"/>
      <c r="N545" s="108"/>
      <c r="O545" s="108"/>
      <c r="P545" s="108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  <c r="CD545" s="61"/>
      <c r="CE545" s="61"/>
      <c r="CF545" s="61"/>
      <c r="CG545" s="61"/>
      <c r="CH545" s="61"/>
      <c r="CI545" s="61"/>
      <c r="CJ545" s="61"/>
      <c r="CK545" s="61"/>
      <c r="CL545" s="61"/>
      <c r="CM545" s="61"/>
      <c r="CN545" s="61"/>
      <c r="CO545" s="61"/>
      <c r="CP545" s="61"/>
      <c r="CQ545" s="61"/>
      <c r="CR545" s="61"/>
      <c r="CS545" s="61"/>
      <c r="CT545" s="61"/>
      <c r="CU545" s="61"/>
      <c r="CV545" s="61"/>
      <c r="CW545" s="61"/>
      <c r="CX545" s="61"/>
      <c r="CY545" s="61"/>
      <c r="CZ545" s="61"/>
      <c r="DA545" s="61"/>
      <c r="DB545" s="61"/>
      <c r="DC545" s="61"/>
      <c r="DD545" s="61"/>
      <c r="DE545" s="61"/>
      <c r="DF545" s="61"/>
      <c r="DG545" s="61"/>
      <c r="DH545" s="61"/>
      <c r="DI545" s="61"/>
      <c r="DJ545" s="61"/>
      <c r="DK545" s="61"/>
    </row>
    <row r="546" spans="1:115" ht="21" customHeight="1" x14ac:dyDescent="0.2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108"/>
      <c r="N546" s="108"/>
      <c r="O546" s="108"/>
      <c r="P546" s="108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  <c r="CD546" s="61"/>
      <c r="CE546" s="61"/>
      <c r="CF546" s="61"/>
      <c r="CG546" s="61"/>
      <c r="CH546" s="61"/>
      <c r="CI546" s="61"/>
      <c r="CJ546" s="61"/>
      <c r="CK546" s="61"/>
      <c r="CL546" s="61"/>
      <c r="CM546" s="61"/>
      <c r="CN546" s="61"/>
      <c r="CO546" s="61"/>
      <c r="CP546" s="61"/>
      <c r="CQ546" s="61"/>
      <c r="CR546" s="61"/>
      <c r="CS546" s="61"/>
      <c r="CT546" s="61"/>
      <c r="CU546" s="61"/>
      <c r="CV546" s="61"/>
      <c r="CW546" s="61"/>
      <c r="CX546" s="61"/>
      <c r="CY546" s="61"/>
      <c r="CZ546" s="61"/>
      <c r="DA546" s="61"/>
      <c r="DB546" s="61"/>
      <c r="DC546" s="61"/>
      <c r="DD546" s="61"/>
      <c r="DE546" s="61"/>
      <c r="DF546" s="61"/>
      <c r="DG546" s="61"/>
      <c r="DH546" s="61"/>
      <c r="DI546" s="61"/>
      <c r="DJ546" s="61"/>
      <c r="DK546" s="61"/>
    </row>
    <row r="547" spans="1:115" ht="21" customHeight="1" x14ac:dyDescent="0.2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108"/>
      <c r="N547" s="108"/>
      <c r="O547" s="108"/>
      <c r="P547" s="108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  <c r="CD547" s="61"/>
      <c r="CE547" s="61"/>
      <c r="CF547" s="61"/>
      <c r="CG547" s="61"/>
      <c r="CH547" s="61"/>
      <c r="CI547" s="61"/>
      <c r="CJ547" s="61"/>
      <c r="CK547" s="61"/>
      <c r="CL547" s="61"/>
      <c r="CM547" s="61"/>
      <c r="CN547" s="61"/>
      <c r="CO547" s="61"/>
      <c r="CP547" s="61"/>
      <c r="CQ547" s="61"/>
      <c r="CR547" s="61"/>
      <c r="CS547" s="61"/>
      <c r="CT547" s="61"/>
      <c r="CU547" s="61"/>
      <c r="CV547" s="61"/>
      <c r="CW547" s="61"/>
      <c r="CX547" s="61"/>
      <c r="CY547" s="61"/>
      <c r="CZ547" s="61"/>
      <c r="DA547" s="61"/>
      <c r="DB547" s="61"/>
      <c r="DC547" s="61"/>
      <c r="DD547" s="61"/>
      <c r="DE547" s="61"/>
      <c r="DF547" s="61"/>
      <c r="DG547" s="61"/>
      <c r="DH547" s="61"/>
      <c r="DI547" s="61"/>
      <c r="DJ547" s="61"/>
      <c r="DK547" s="61"/>
    </row>
    <row r="548" spans="1:115" ht="21" customHeight="1" x14ac:dyDescent="0.2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108"/>
      <c r="N548" s="108"/>
      <c r="O548" s="108"/>
      <c r="P548" s="108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  <c r="CD548" s="61"/>
      <c r="CE548" s="61"/>
      <c r="CF548" s="61"/>
      <c r="CG548" s="61"/>
      <c r="CH548" s="61"/>
      <c r="CI548" s="61"/>
      <c r="CJ548" s="61"/>
      <c r="CK548" s="61"/>
      <c r="CL548" s="61"/>
      <c r="CM548" s="61"/>
      <c r="CN548" s="61"/>
      <c r="CO548" s="61"/>
      <c r="CP548" s="61"/>
      <c r="CQ548" s="61"/>
      <c r="CR548" s="61"/>
      <c r="CS548" s="61"/>
      <c r="CT548" s="61"/>
      <c r="CU548" s="61"/>
      <c r="CV548" s="61"/>
      <c r="CW548" s="61"/>
      <c r="CX548" s="61"/>
      <c r="CY548" s="61"/>
      <c r="CZ548" s="61"/>
      <c r="DA548" s="61"/>
      <c r="DB548" s="61"/>
      <c r="DC548" s="61"/>
      <c r="DD548" s="61"/>
      <c r="DE548" s="61"/>
      <c r="DF548" s="61"/>
      <c r="DG548" s="61"/>
      <c r="DH548" s="61"/>
      <c r="DI548" s="61"/>
      <c r="DJ548" s="61"/>
      <c r="DK548" s="61"/>
    </row>
    <row r="549" spans="1:115" ht="21" customHeight="1" x14ac:dyDescent="0.2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108"/>
      <c r="N549" s="108"/>
      <c r="O549" s="108"/>
      <c r="P549" s="108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  <c r="CD549" s="61"/>
      <c r="CE549" s="61"/>
      <c r="CF549" s="61"/>
      <c r="CG549" s="61"/>
      <c r="CH549" s="61"/>
      <c r="CI549" s="61"/>
      <c r="CJ549" s="61"/>
      <c r="CK549" s="61"/>
      <c r="CL549" s="61"/>
      <c r="CM549" s="61"/>
      <c r="CN549" s="61"/>
      <c r="CO549" s="61"/>
      <c r="CP549" s="61"/>
      <c r="CQ549" s="61"/>
      <c r="CR549" s="61"/>
      <c r="CS549" s="61"/>
      <c r="CT549" s="61"/>
      <c r="CU549" s="61"/>
      <c r="CV549" s="61"/>
      <c r="CW549" s="61"/>
      <c r="CX549" s="61"/>
      <c r="CY549" s="61"/>
      <c r="CZ549" s="61"/>
      <c r="DA549" s="61"/>
      <c r="DB549" s="61"/>
      <c r="DC549" s="61"/>
      <c r="DD549" s="61"/>
      <c r="DE549" s="61"/>
      <c r="DF549" s="61"/>
      <c r="DG549" s="61"/>
      <c r="DH549" s="61"/>
      <c r="DI549" s="61"/>
      <c r="DJ549" s="61"/>
      <c r="DK549" s="61"/>
    </row>
    <row r="550" spans="1:115" ht="21" customHeight="1" x14ac:dyDescent="0.2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108"/>
      <c r="N550" s="108"/>
      <c r="O550" s="108"/>
      <c r="P550" s="108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  <c r="CD550" s="61"/>
      <c r="CE550" s="61"/>
      <c r="CF550" s="61"/>
      <c r="CG550" s="61"/>
      <c r="CH550" s="61"/>
      <c r="CI550" s="61"/>
      <c r="CJ550" s="61"/>
      <c r="CK550" s="61"/>
      <c r="CL550" s="61"/>
      <c r="CM550" s="61"/>
      <c r="CN550" s="61"/>
      <c r="CO550" s="61"/>
      <c r="CP550" s="61"/>
      <c r="CQ550" s="61"/>
      <c r="CR550" s="61"/>
      <c r="CS550" s="61"/>
      <c r="CT550" s="61"/>
      <c r="CU550" s="61"/>
      <c r="CV550" s="61"/>
      <c r="CW550" s="61"/>
      <c r="CX550" s="61"/>
      <c r="CY550" s="61"/>
      <c r="CZ550" s="61"/>
      <c r="DA550" s="61"/>
      <c r="DB550" s="61"/>
      <c r="DC550" s="61"/>
      <c r="DD550" s="61"/>
      <c r="DE550" s="61"/>
      <c r="DF550" s="61"/>
      <c r="DG550" s="61"/>
      <c r="DH550" s="61"/>
      <c r="DI550" s="61"/>
      <c r="DJ550" s="61"/>
      <c r="DK550" s="61"/>
    </row>
    <row r="551" spans="1:115" ht="21" customHeight="1" x14ac:dyDescent="0.2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108"/>
      <c r="N551" s="108"/>
      <c r="O551" s="108"/>
      <c r="P551" s="108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  <c r="CD551" s="61"/>
      <c r="CE551" s="61"/>
      <c r="CF551" s="61"/>
      <c r="CG551" s="61"/>
      <c r="CH551" s="61"/>
      <c r="CI551" s="61"/>
      <c r="CJ551" s="61"/>
      <c r="CK551" s="61"/>
      <c r="CL551" s="61"/>
      <c r="CM551" s="61"/>
      <c r="CN551" s="61"/>
      <c r="CO551" s="61"/>
      <c r="CP551" s="61"/>
      <c r="CQ551" s="61"/>
      <c r="CR551" s="61"/>
      <c r="CS551" s="61"/>
      <c r="CT551" s="61"/>
      <c r="CU551" s="61"/>
      <c r="CV551" s="61"/>
      <c r="CW551" s="61"/>
      <c r="CX551" s="61"/>
      <c r="CY551" s="61"/>
      <c r="CZ551" s="61"/>
      <c r="DA551" s="61"/>
      <c r="DB551" s="61"/>
      <c r="DC551" s="61"/>
      <c r="DD551" s="61"/>
      <c r="DE551" s="61"/>
      <c r="DF551" s="61"/>
      <c r="DG551" s="61"/>
      <c r="DH551" s="61"/>
      <c r="DI551" s="61"/>
      <c r="DJ551" s="61"/>
      <c r="DK551" s="61"/>
    </row>
    <row r="552" spans="1:115" ht="21" customHeight="1" x14ac:dyDescent="0.2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108"/>
      <c r="N552" s="108"/>
      <c r="O552" s="108"/>
      <c r="P552" s="108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  <c r="CD552" s="61"/>
      <c r="CE552" s="61"/>
      <c r="CF552" s="61"/>
      <c r="CG552" s="61"/>
      <c r="CH552" s="61"/>
      <c r="CI552" s="61"/>
      <c r="CJ552" s="61"/>
      <c r="CK552" s="61"/>
      <c r="CL552" s="61"/>
      <c r="CM552" s="61"/>
      <c r="CN552" s="61"/>
      <c r="CO552" s="61"/>
      <c r="CP552" s="61"/>
      <c r="CQ552" s="61"/>
      <c r="CR552" s="61"/>
      <c r="CS552" s="61"/>
      <c r="CT552" s="61"/>
      <c r="CU552" s="61"/>
      <c r="CV552" s="61"/>
      <c r="CW552" s="61"/>
      <c r="CX552" s="61"/>
      <c r="CY552" s="61"/>
      <c r="CZ552" s="61"/>
      <c r="DA552" s="61"/>
      <c r="DB552" s="61"/>
      <c r="DC552" s="61"/>
      <c r="DD552" s="61"/>
      <c r="DE552" s="61"/>
      <c r="DF552" s="61"/>
      <c r="DG552" s="61"/>
      <c r="DH552" s="61"/>
      <c r="DI552" s="61"/>
      <c r="DJ552" s="61"/>
      <c r="DK552" s="61"/>
    </row>
    <row r="553" spans="1:115" ht="21" customHeight="1" x14ac:dyDescent="0.2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108"/>
      <c r="N553" s="108"/>
      <c r="O553" s="108"/>
      <c r="P553" s="108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  <c r="BZ553" s="61"/>
      <c r="CA553" s="61"/>
      <c r="CB553" s="61"/>
      <c r="CC553" s="61"/>
      <c r="CD553" s="61"/>
      <c r="CE553" s="61"/>
      <c r="CF553" s="61"/>
      <c r="CG553" s="61"/>
      <c r="CH553" s="61"/>
      <c r="CI553" s="61"/>
      <c r="CJ553" s="61"/>
      <c r="CK553" s="61"/>
      <c r="CL553" s="61"/>
      <c r="CM553" s="61"/>
      <c r="CN553" s="61"/>
      <c r="CO553" s="61"/>
      <c r="CP553" s="61"/>
      <c r="CQ553" s="61"/>
      <c r="CR553" s="61"/>
      <c r="CS553" s="61"/>
      <c r="CT553" s="61"/>
      <c r="CU553" s="61"/>
      <c r="CV553" s="61"/>
      <c r="CW553" s="61"/>
      <c r="CX553" s="61"/>
      <c r="CY553" s="61"/>
      <c r="CZ553" s="61"/>
      <c r="DA553" s="61"/>
      <c r="DB553" s="61"/>
      <c r="DC553" s="61"/>
      <c r="DD553" s="61"/>
      <c r="DE553" s="61"/>
      <c r="DF553" s="61"/>
      <c r="DG553" s="61"/>
      <c r="DH553" s="61"/>
      <c r="DI553" s="61"/>
      <c r="DJ553" s="61"/>
      <c r="DK553" s="61"/>
    </row>
    <row r="554" spans="1:115" ht="21" customHeight="1" x14ac:dyDescent="0.2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108"/>
      <c r="N554" s="108"/>
      <c r="O554" s="108"/>
      <c r="P554" s="108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  <c r="CD554" s="61"/>
      <c r="CE554" s="61"/>
      <c r="CF554" s="61"/>
      <c r="CG554" s="61"/>
      <c r="CH554" s="61"/>
      <c r="CI554" s="61"/>
      <c r="CJ554" s="61"/>
      <c r="CK554" s="61"/>
      <c r="CL554" s="61"/>
      <c r="CM554" s="61"/>
      <c r="CN554" s="61"/>
      <c r="CO554" s="61"/>
      <c r="CP554" s="61"/>
      <c r="CQ554" s="61"/>
      <c r="CR554" s="61"/>
      <c r="CS554" s="61"/>
      <c r="CT554" s="61"/>
      <c r="CU554" s="61"/>
      <c r="CV554" s="61"/>
      <c r="CW554" s="61"/>
      <c r="CX554" s="61"/>
      <c r="CY554" s="61"/>
      <c r="CZ554" s="61"/>
      <c r="DA554" s="61"/>
      <c r="DB554" s="61"/>
      <c r="DC554" s="61"/>
      <c r="DD554" s="61"/>
      <c r="DE554" s="61"/>
      <c r="DF554" s="61"/>
      <c r="DG554" s="61"/>
      <c r="DH554" s="61"/>
      <c r="DI554" s="61"/>
      <c r="DJ554" s="61"/>
      <c r="DK554" s="61"/>
    </row>
    <row r="555" spans="1:115" ht="21" customHeight="1" x14ac:dyDescent="0.2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108"/>
      <c r="N555" s="108"/>
      <c r="O555" s="108"/>
      <c r="P555" s="108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  <c r="CD555" s="61"/>
      <c r="CE555" s="61"/>
      <c r="CF555" s="61"/>
      <c r="CG555" s="61"/>
      <c r="CH555" s="61"/>
      <c r="CI555" s="61"/>
      <c r="CJ555" s="61"/>
      <c r="CK555" s="61"/>
      <c r="CL555" s="61"/>
      <c r="CM555" s="61"/>
      <c r="CN555" s="61"/>
      <c r="CO555" s="61"/>
      <c r="CP555" s="61"/>
      <c r="CQ555" s="61"/>
      <c r="CR555" s="61"/>
      <c r="CS555" s="61"/>
      <c r="CT555" s="61"/>
      <c r="CU555" s="61"/>
      <c r="CV555" s="61"/>
      <c r="CW555" s="61"/>
      <c r="CX555" s="61"/>
      <c r="CY555" s="61"/>
      <c r="CZ555" s="61"/>
      <c r="DA555" s="61"/>
      <c r="DB555" s="61"/>
      <c r="DC555" s="61"/>
      <c r="DD555" s="61"/>
      <c r="DE555" s="61"/>
      <c r="DF555" s="61"/>
      <c r="DG555" s="61"/>
      <c r="DH555" s="61"/>
      <c r="DI555" s="61"/>
      <c r="DJ555" s="61"/>
      <c r="DK555" s="61"/>
    </row>
    <row r="556" spans="1:115" ht="21" customHeight="1" x14ac:dyDescent="0.2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108"/>
      <c r="N556" s="108"/>
      <c r="O556" s="108"/>
      <c r="P556" s="108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  <c r="CD556" s="61"/>
      <c r="CE556" s="61"/>
      <c r="CF556" s="61"/>
      <c r="CG556" s="61"/>
      <c r="CH556" s="61"/>
      <c r="CI556" s="61"/>
      <c r="CJ556" s="61"/>
      <c r="CK556" s="61"/>
      <c r="CL556" s="61"/>
      <c r="CM556" s="61"/>
      <c r="CN556" s="61"/>
      <c r="CO556" s="61"/>
      <c r="CP556" s="61"/>
      <c r="CQ556" s="61"/>
      <c r="CR556" s="61"/>
      <c r="CS556" s="61"/>
      <c r="CT556" s="61"/>
      <c r="CU556" s="61"/>
      <c r="CV556" s="61"/>
      <c r="CW556" s="61"/>
      <c r="CX556" s="61"/>
      <c r="CY556" s="61"/>
      <c r="CZ556" s="61"/>
      <c r="DA556" s="61"/>
      <c r="DB556" s="61"/>
      <c r="DC556" s="61"/>
      <c r="DD556" s="61"/>
      <c r="DE556" s="61"/>
      <c r="DF556" s="61"/>
      <c r="DG556" s="61"/>
      <c r="DH556" s="61"/>
      <c r="DI556" s="61"/>
      <c r="DJ556" s="61"/>
      <c r="DK556" s="61"/>
    </row>
    <row r="557" spans="1:115" ht="21" customHeight="1" x14ac:dyDescent="0.2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108"/>
      <c r="N557" s="108"/>
      <c r="O557" s="108"/>
      <c r="P557" s="108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  <c r="CD557" s="61"/>
      <c r="CE557" s="61"/>
      <c r="CF557" s="61"/>
      <c r="CG557" s="61"/>
      <c r="CH557" s="61"/>
      <c r="CI557" s="61"/>
      <c r="CJ557" s="61"/>
      <c r="CK557" s="61"/>
      <c r="CL557" s="61"/>
      <c r="CM557" s="61"/>
      <c r="CN557" s="61"/>
      <c r="CO557" s="61"/>
      <c r="CP557" s="61"/>
      <c r="CQ557" s="61"/>
      <c r="CR557" s="61"/>
      <c r="CS557" s="61"/>
      <c r="CT557" s="61"/>
      <c r="CU557" s="61"/>
      <c r="CV557" s="61"/>
      <c r="CW557" s="61"/>
      <c r="CX557" s="61"/>
      <c r="CY557" s="61"/>
      <c r="CZ557" s="61"/>
      <c r="DA557" s="61"/>
      <c r="DB557" s="61"/>
      <c r="DC557" s="61"/>
      <c r="DD557" s="61"/>
      <c r="DE557" s="61"/>
      <c r="DF557" s="61"/>
      <c r="DG557" s="61"/>
      <c r="DH557" s="61"/>
      <c r="DI557" s="61"/>
      <c r="DJ557" s="61"/>
      <c r="DK557" s="61"/>
    </row>
    <row r="558" spans="1:115" ht="21" customHeight="1" x14ac:dyDescent="0.2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108"/>
      <c r="N558" s="108"/>
      <c r="O558" s="108"/>
      <c r="P558" s="108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  <c r="CP558" s="61"/>
      <c r="CQ558" s="61"/>
      <c r="CR558" s="61"/>
      <c r="CS558" s="61"/>
      <c r="CT558" s="61"/>
      <c r="CU558" s="61"/>
      <c r="CV558" s="61"/>
      <c r="CW558" s="61"/>
      <c r="CX558" s="61"/>
      <c r="CY558" s="61"/>
      <c r="CZ558" s="61"/>
      <c r="DA558" s="61"/>
      <c r="DB558" s="61"/>
      <c r="DC558" s="61"/>
      <c r="DD558" s="61"/>
      <c r="DE558" s="61"/>
      <c r="DF558" s="61"/>
      <c r="DG558" s="61"/>
      <c r="DH558" s="61"/>
      <c r="DI558" s="61"/>
      <c r="DJ558" s="61"/>
      <c r="DK558" s="61"/>
    </row>
    <row r="559" spans="1:115" ht="21" customHeight="1" x14ac:dyDescent="0.2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108"/>
      <c r="N559" s="108"/>
      <c r="O559" s="108"/>
      <c r="P559" s="108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  <c r="CD559" s="61"/>
      <c r="CE559" s="61"/>
      <c r="CF559" s="61"/>
      <c r="CG559" s="61"/>
      <c r="CH559" s="61"/>
      <c r="CI559" s="61"/>
      <c r="CJ559" s="61"/>
      <c r="CK559" s="61"/>
      <c r="CL559" s="61"/>
      <c r="CM559" s="61"/>
      <c r="CN559" s="61"/>
      <c r="CO559" s="61"/>
      <c r="CP559" s="61"/>
      <c r="CQ559" s="61"/>
      <c r="CR559" s="61"/>
      <c r="CS559" s="61"/>
      <c r="CT559" s="61"/>
      <c r="CU559" s="61"/>
      <c r="CV559" s="61"/>
      <c r="CW559" s="61"/>
      <c r="CX559" s="61"/>
      <c r="CY559" s="61"/>
      <c r="CZ559" s="61"/>
      <c r="DA559" s="61"/>
      <c r="DB559" s="61"/>
      <c r="DC559" s="61"/>
      <c r="DD559" s="61"/>
      <c r="DE559" s="61"/>
      <c r="DF559" s="61"/>
      <c r="DG559" s="61"/>
      <c r="DH559" s="61"/>
      <c r="DI559" s="61"/>
      <c r="DJ559" s="61"/>
      <c r="DK559" s="61"/>
    </row>
    <row r="560" spans="1:115" ht="21" customHeight="1" x14ac:dyDescent="0.2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108"/>
      <c r="N560" s="108"/>
      <c r="O560" s="108"/>
      <c r="P560" s="108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  <c r="CD560" s="61"/>
      <c r="CE560" s="61"/>
      <c r="CF560" s="61"/>
      <c r="CG560" s="61"/>
      <c r="CH560" s="61"/>
      <c r="CI560" s="61"/>
      <c r="CJ560" s="61"/>
      <c r="CK560" s="61"/>
      <c r="CL560" s="61"/>
      <c r="CM560" s="61"/>
      <c r="CN560" s="61"/>
      <c r="CO560" s="61"/>
      <c r="CP560" s="61"/>
      <c r="CQ560" s="61"/>
      <c r="CR560" s="61"/>
      <c r="CS560" s="61"/>
      <c r="CT560" s="61"/>
      <c r="CU560" s="61"/>
      <c r="CV560" s="61"/>
      <c r="CW560" s="61"/>
      <c r="CX560" s="61"/>
      <c r="CY560" s="61"/>
      <c r="CZ560" s="61"/>
      <c r="DA560" s="61"/>
      <c r="DB560" s="61"/>
      <c r="DC560" s="61"/>
      <c r="DD560" s="61"/>
      <c r="DE560" s="61"/>
      <c r="DF560" s="61"/>
      <c r="DG560" s="61"/>
      <c r="DH560" s="61"/>
      <c r="DI560" s="61"/>
      <c r="DJ560" s="61"/>
      <c r="DK560" s="61"/>
    </row>
    <row r="561" spans="1:115" ht="21" customHeight="1" x14ac:dyDescent="0.2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108"/>
      <c r="N561" s="108"/>
      <c r="O561" s="108"/>
      <c r="P561" s="108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  <c r="CD561" s="61"/>
      <c r="CE561" s="61"/>
      <c r="CF561" s="61"/>
      <c r="CG561" s="61"/>
      <c r="CH561" s="61"/>
      <c r="CI561" s="61"/>
      <c r="CJ561" s="61"/>
      <c r="CK561" s="61"/>
      <c r="CL561" s="61"/>
      <c r="CM561" s="61"/>
      <c r="CN561" s="61"/>
      <c r="CO561" s="61"/>
      <c r="CP561" s="61"/>
      <c r="CQ561" s="61"/>
      <c r="CR561" s="61"/>
      <c r="CS561" s="61"/>
      <c r="CT561" s="61"/>
      <c r="CU561" s="61"/>
      <c r="CV561" s="61"/>
      <c r="CW561" s="61"/>
      <c r="CX561" s="61"/>
      <c r="CY561" s="61"/>
      <c r="CZ561" s="61"/>
      <c r="DA561" s="61"/>
      <c r="DB561" s="61"/>
      <c r="DC561" s="61"/>
      <c r="DD561" s="61"/>
      <c r="DE561" s="61"/>
      <c r="DF561" s="61"/>
      <c r="DG561" s="61"/>
      <c r="DH561" s="61"/>
      <c r="DI561" s="61"/>
      <c r="DJ561" s="61"/>
      <c r="DK561" s="61"/>
    </row>
    <row r="562" spans="1:115" ht="21" customHeight="1" x14ac:dyDescent="0.2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108"/>
      <c r="N562" s="108"/>
      <c r="O562" s="108"/>
      <c r="P562" s="108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61"/>
      <c r="CD562" s="61"/>
      <c r="CE562" s="61"/>
      <c r="CF562" s="61"/>
      <c r="CG562" s="61"/>
      <c r="CH562" s="61"/>
      <c r="CI562" s="61"/>
      <c r="CJ562" s="61"/>
      <c r="CK562" s="61"/>
      <c r="CL562" s="61"/>
      <c r="CM562" s="61"/>
      <c r="CN562" s="61"/>
      <c r="CO562" s="61"/>
      <c r="CP562" s="61"/>
      <c r="CQ562" s="61"/>
      <c r="CR562" s="61"/>
      <c r="CS562" s="61"/>
      <c r="CT562" s="61"/>
      <c r="CU562" s="61"/>
      <c r="CV562" s="61"/>
      <c r="CW562" s="61"/>
      <c r="CX562" s="61"/>
      <c r="CY562" s="61"/>
      <c r="CZ562" s="61"/>
      <c r="DA562" s="61"/>
      <c r="DB562" s="61"/>
      <c r="DC562" s="61"/>
      <c r="DD562" s="61"/>
      <c r="DE562" s="61"/>
      <c r="DF562" s="61"/>
      <c r="DG562" s="61"/>
      <c r="DH562" s="61"/>
      <c r="DI562" s="61"/>
      <c r="DJ562" s="61"/>
      <c r="DK562" s="61"/>
    </row>
    <row r="563" spans="1:115" ht="21" customHeight="1" x14ac:dyDescent="0.2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108"/>
      <c r="N563" s="108"/>
      <c r="O563" s="108"/>
      <c r="P563" s="108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  <c r="CM563" s="61"/>
      <c r="CN563" s="61"/>
      <c r="CO563" s="61"/>
      <c r="CP563" s="61"/>
      <c r="CQ563" s="61"/>
      <c r="CR563" s="61"/>
      <c r="CS563" s="61"/>
      <c r="CT563" s="61"/>
      <c r="CU563" s="61"/>
      <c r="CV563" s="61"/>
      <c r="CW563" s="61"/>
      <c r="CX563" s="61"/>
      <c r="CY563" s="61"/>
      <c r="CZ563" s="61"/>
      <c r="DA563" s="61"/>
      <c r="DB563" s="61"/>
      <c r="DC563" s="61"/>
      <c r="DD563" s="61"/>
      <c r="DE563" s="61"/>
      <c r="DF563" s="61"/>
      <c r="DG563" s="61"/>
      <c r="DH563" s="61"/>
      <c r="DI563" s="61"/>
      <c r="DJ563" s="61"/>
      <c r="DK563" s="61"/>
    </row>
    <row r="564" spans="1:115" ht="21" customHeight="1" x14ac:dyDescent="0.2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108"/>
      <c r="N564" s="108"/>
      <c r="O564" s="108"/>
      <c r="P564" s="108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  <c r="CN564" s="61"/>
      <c r="CO564" s="61"/>
      <c r="CP564" s="61"/>
      <c r="CQ564" s="61"/>
      <c r="CR564" s="61"/>
      <c r="CS564" s="61"/>
      <c r="CT564" s="61"/>
      <c r="CU564" s="61"/>
      <c r="CV564" s="61"/>
      <c r="CW564" s="61"/>
      <c r="CX564" s="61"/>
      <c r="CY564" s="61"/>
      <c r="CZ564" s="61"/>
      <c r="DA564" s="61"/>
      <c r="DB564" s="61"/>
      <c r="DC564" s="61"/>
      <c r="DD564" s="61"/>
      <c r="DE564" s="61"/>
      <c r="DF564" s="61"/>
      <c r="DG564" s="61"/>
      <c r="DH564" s="61"/>
      <c r="DI564" s="61"/>
      <c r="DJ564" s="61"/>
      <c r="DK564" s="61"/>
    </row>
    <row r="565" spans="1:115" ht="21" customHeight="1" x14ac:dyDescent="0.2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108"/>
      <c r="N565" s="108"/>
      <c r="O565" s="108"/>
      <c r="P565" s="108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  <c r="CD565" s="61"/>
      <c r="CE565" s="61"/>
      <c r="CF565" s="61"/>
      <c r="CG565" s="61"/>
      <c r="CH565" s="61"/>
      <c r="CI565" s="61"/>
      <c r="CJ565" s="61"/>
      <c r="CK565" s="61"/>
      <c r="CL565" s="61"/>
      <c r="CM565" s="61"/>
      <c r="CN565" s="61"/>
      <c r="CO565" s="61"/>
      <c r="CP565" s="61"/>
      <c r="CQ565" s="61"/>
      <c r="CR565" s="61"/>
      <c r="CS565" s="61"/>
      <c r="CT565" s="61"/>
      <c r="CU565" s="61"/>
      <c r="CV565" s="61"/>
      <c r="CW565" s="61"/>
      <c r="CX565" s="61"/>
      <c r="CY565" s="61"/>
      <c r="CZ565" s="61"/>
      <c r="DA565" s="61"/>
      <c r="DB565" s="61"/>
      <c r="DC565" s="61"/>
      <c r="DD565" s="61"/>
      <c r="DE565" s="61"/>
      <c r="DF565" s="61"/>
      <c r="DG565" s="61"/>
      <c r="DH565" s="61"/>
      <c r="DI565" s="61"/>
      <c r="DJ565" s="61"/>
      <c r="DK565" s="61"/>
    </row>
    <row r="566" spans="1:115" ht="21" customHeight="1" x14ac:dyDescent="0.2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108"/>
      <c r="N566" s="108"/>
      <c r="O566" s="108"/>
      <c r="P566" s="108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  <c r="CD566" s="61"/>
      <c r="CE566" s="61"/>
      <c r="CF566" s="61"/>
      <c r="CG566" s="61"/>
      <c r="CH566" s="61"/>
      <c r="CI566" s="61"/>
      <c r="CJ566" s="61"/>
      <c r="CK566" s="61"/>
      <c r="CL566" s="61"/>
      <c r="CM566" s="61"/>
      <c r="CN566" s="61"/>
      <c r="CO566" s="61"/>
      <c r="CP566" s="61"/>
      <c r="CQ566" s="61"/>
      <c r="CR566" s="61"/>
      <c r="CS566" s="61"/>
      <c r="CT566" s="61"/>
      <c r="CU566" s="61"/>
      <c r="CV566" s="61"/>
      <c r="CW566" s="61"/>
      <c r="CX566" s="61"/>
      <c r="CY566" s="61"/>
      <c r="CZ566" s="61"/>
      <c r="DA566" s="61"/>
      <c r="DB566" s="61"/>
      <c r="DC566" s="61"/>
      <c r="DD566" s="61"/>
      <c r="DE566" s="61"/>
      <c r="DF566" s="61"/>
      <c r="DG566" s="61"/>
      <c r="DH566" s="61"/>
      <c r="DI566" s="61"/>
      <c r="DJ566" s="61"/>
      <c r="DK566" s="61"/>
    </row>
    <row r="567" spans="1:115" ht="21" customHeight="1" x14ac:dyDescent="0.2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108"/>
      <c r="N567" s="108"/>
      <c r="O567" s="108"/>
      <c r="P567" s="108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  <c r="CD567" s="61"/>
      <c r="CE567" s="61"/>
      <c r="CF567" s="61"/>
      <c r="CG567" s="61"/>
      <c r="CH567" s="61"/>
      <c r="CI567" s="61"/>
      <c r="CJ567" s="61"/>
      <c r="CK567" s="61"/>
      <c r="CL567" s="61"/>
      <c r="CM567" s="61"/>
      <c r="CN567" s="61"/>
      <c r="CO567" s="61"/>
      <c r="CP567" s="61"/>
      <c r="CQ567" s="61"/>
      <c r="CR567" s="61"/>
      <c r="CS567" s="61"/>
      <c r="CT567" s="61"/>
      <c r="CU567" s="61"/>
      <c r="CV567" s="61"/>
      <c r="CW567" s="61"/>
      <c r="CX567" s="61"/>
      <c r="CY567" s="61"/>
      <c r="CZ567" s="61"/>
      <c r="DA567" s="61"/>
      <c r="DB567" s="61"/>
      <c r="DC567" s="61"/>
      <c r="DD567" s="61"/>
      <c r="DE567" s="61"/>
      <c r="DF567" s="61"/>
      <c r="DG567" s="61"/>
      <c r="DH567" s="61"/>
      <c r="DI567" s="61"/>
      <c r="DJ567" s="61"/>
      <c r="DK567" s="61"/>
    </row>
    <row r="568" spans="1:115" ht="21" customHeight="1" x14ac:dyDescent="0.2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108"/>
      <c r="N568" s="108"/>
      <c r="O568" s="108"/>
      <c r="P568" s="108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  <c r="CD568" s="61"/>
      <c r="CE568" s="61"/>
      <c r="CF568" s="61"/>
      <c r="CG568" s="61"/>
      <c r="CH568" s="61"/>
      <c r="CI568" s="61"/>
      <c r="CJ568" s="61"/>
      <c r="CK568" s="61"/>
      <c r="CL568" s="61"/>
      <c r="CM568" s="61"/>
      <c r="CN568" s="61"/>
      <c r="CO568" s="61"/>
      <c r="CP568" s="61"/>
      <c r="CQ568" s="61"/>
      <c r="CR568" s="61"/>
      <c r="CS568" s="61"/>
      <c r="CT568" s="61"/>
      <c r="CU568" s="61"/>
      <c r="CV568" s="61"/>
      <c r="CW568" s="61"/>
      <c r="CX568" s="61"/>
      <c r="CY568" s="61"/>
      <c r="CZ568" s="61"/>
      <c r="DA568" s="61"/>
      <c r="DB568" s="61"/>
      <c r="DC568" s="61"/>
      <c r="DD568" s="61"/>
      <c r="DE568" s="61"/>
      <c r="DF568" s="61"/>
      <c r="DG568" s="61"/>
      <c r="DH568" s="61"/>
      <c r="DI568" s="61"/>
      <c r="DJ568" s="61"/>
      <c r="DK568" s="61"/>
    </row>
    <row r="569" spans="1:115" ht="21" customHeight="1" x14ac:dyDescent="0.2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108"/>
      <c r="N569" s="108"/>
      <c r="O569" s="108"/>
      <c r="P569" s="108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  <c r="CD569" s="61"/>
      <c r="CE569" s="61"/>
      <c r="CF569" s="61"/>
      <c r="CG569" s="61"/>
      <c r="CH569" s="61"/>
      <c r="CI569" s="61"/>
      <c r="CJ569" s="61"/>
      <c r="CK569" s="61"/>
      <c r="CL569" s="61"/>
      <c r="CM569" s="61"/>
      <c r="CN569" s="61"/>
      <c r="CO569" s="61"/>
      <c r="CP569" s="61"/>
      <c r="CQ569" s="61"/>
      <c r="CR569" s="61"/>
      <c r="CS569" s="61"/>
      <c r="CT569" s="61"/>
      <c r="CU569" s="61"/>
      <c r="CV569" s="61"/>
      <c r="CW569" s="61"/>
      <c r="CX569" s="61"/>
      <c r="CY569" s="61"/>
      <c r="CZ569" s="61"/>
      <c r="DA569" s="61"/>
      <c r="DB569" s="61"/>
      <c r="DC569" s="61"/>
      <c r="DD569" s="61"/>
      <c r="DE569" s="61"/>
      <c r="DF569" s="61"/>
      <c r="DG569" s="61"/>
      <c r="DH569" s="61"/>
      <c r="DI569" s="61"/>
      <c r="DJ569" s="61"/>
      <c r="DK569" s="61"/>
    </row>
    <row r="570" spans="1:115" ht="21" customHeight="1" x14ac:dyDescent="0.2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108"/>
      <c r="N570" s="108"/>
      <c r="O570" s="108"/>
      <c r="P570" s="108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  <c r="CD570" s="61"/>
      <c r="CE570" s="61"/>
      <c r="CF570" s="61"/>
      <c r="CG570" s="61"/>
      <c r="CH570" s="61"/>
      <c r="CI570" s="61"/>
      <c r="CJ570" s="61"/>
      <c r="CK570" s="61"/>
      <c r="CL570" s="61"/>
      <c r="CM570" s="61"/>
      <c r="CN570" s="61"/>
      <c r="CO570" s="61"/>
      <c r="CP570" s="61"/>
      <c r="CQ570" s="61"/>
      <c r="CR570" s="61"/>
      <c r="CS570" s="61"/>
      <c r="CT570" s="61"/>
      <c r="CU570" s="61"/>
      <c r="CV570" s="61"/>
      <c r="CW570" s="61"/>
      <c r="CX570" s="61"/>
      <c r="CY570" s="61"/>
      <c r="CZ570" s="61"/>
      <c r="DA570" s="61"/>
      <c r="DB570" s="61"/>
      <c r="DC570" s="61"/>
      <c r="DD570" s="61"/>
      <c r="DE570" s="61"/>
      <c r="DF570" s="61"/>
      <c r="DG570" s="61"/>
      <c r="DH570" s="61"/>
      <c r="DI570" s="61"/>
      <c r="DJ570" s="61"/>
      <c r="DK570" s="61"/>
    </row>
    <row r="571" spans="1:115" ht="21" customHeight="1" x14ac:dyDescent="0.2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108"/>
      <c r="N571" s="108"/>
      <c r="O571" s="108"/>
      <c r="P571" s="108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  <c r="CD571" s="61"/>
      <c r="CE571" s="61"/>
      <c r="CF571" s="61"/>
      <c r="CG571" s="61"/>
      <c r="CH571" s="61"/>
      <c r="CI571" s="61"/>
      <c r="CJ571" s="61"/>
      <c r="CK571" s="61"/>
      <c r="CL571" s="61"/>
      <c r="CM571" s="61"/>
      <c r="CN571" s="61"/>
      <c r="CO571" s="61"/>
      <c r="CP571" s="61"/>
      <c r="CQ571" s="61"/>
      <c r="CR571" s="61"/>
      <c r="CS571" s="61"/>
      <c r="CT571" s="61"/>
      <c r="CU571" s="61"/>
      <c r="CV571" s="61"/>
      <c r="CW571" s="61"/>
      <c r="CX571" s="61"/>
      <c r="CY571" s="61"/>
      <c r="CZ571" s="61"/>
      <c r="DA571" s="61"/>
      <c r="DB571" s="61"/>
      <c r="DC571" s="61"/>
      <c r="DD571" s="61"/>
      <c r="DE571" s="61"/>
      <c r="DF571" s="61"/>
      <c r="DG571" s="61"/>
      <c r="DH571" s="61"/>
      <c r="DI571" s="61"/>
      <c r="DJ571" s="61"/>
      <c r="DK571" s="61"/>
    </row>
    <row r="572" spans="1:115" ht="21" customHeight="1" x14ac:dyDescent="0.2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108"/>
      <c r="N572" s="108"/>
      <c r="O572" s="108"/>
      <c r="P572" s="108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  <c r="CD572" s="61"/>
      <c r="CE572" s="61"/>
      <c r="CF572" s="61"/>
      <c r="CG572" s="61"/>
      <c r="CH572" s="61"/>
      <c r="CI572" s="61"/>
      <c r="CJ572" s="61"/>
      <c r="CK572" s="61"/>
      <c r="CL572" s="61"/>
      <c r="CM572" s="61"/>
      <c r="CN572" s="61"/>
      <c r="CO572" s="61"/>
      <c r="CP572" s="61"/>
      <c r="CQ572" s="61"/>
      <c r="CR572" s="61"/>
      <c r="CS572" s="61"/>
      <c r="CT572" s="61"/>
      <c r="CU572" s="61"/>
      <c r="CV572" s="61"/>
      <c r="CW572" s="61"/>
      <c r="CX572" s="61"/>
      <c r="CY572" s="61"/>
      <c r="CZ572" s="61"/>
      <c r="DA572" s="61"/>
      <c r="DB572" s="61"/>
      <c r="DC572" s="61"/>
      <c r="DD572" s="61"/>
      <c r="DE572" s="61"/>
      <c r="DF572" s="61"/>
      <c r="DG572" s="61"/>
      <c r="DH572" s="61"/>
      <c r="DI572" s="61"/>
      <c r="DJ572" s="61"/>
      <c r="DK572" s="61"/>
    </row>
    <row r="573" spans="1:115" ht="21" customHeight="1" x14ac:dyDescent="0.2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108"/>
      <c r="N573" s="108"/>
      <c r="O573" s="108"/>
      <c r="P573" s="108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  <c r="CD573" s="61"/>
      <c r="CE573" s="61"/>
      <c r="CF573" s="61"/>
      <c r="CG573" s="61"/>
      <c r="CH573" s="61"/>
      <c r="CI573" s="61"/>
      <c r="CJ573" s="61"/>
      <c r="CK573" s="61"/>
      <c r="CL573" s="61"/>
      <c r="CM573" s="61"/>
      <c r="CN573" s="61"/>
      <c r="CO573" s="61"/>
      <c r="CP573" s="61"/>
      <c r="CQ573" s="61"/>
      <c r="CR573" s="61"/>
      <c r="CS573" s="61"/>
      <c r="CT573" s="61"/>
      <c r="CU573" s="61"/>
      <c r="CV573" s="61"/>
      <c r="CW573" s="61"/>
      <c r="CX573" s="61"/>
      <c r="CY573" s="61"/>
      <c r="CZ573" s="61"/>
      <c r="DA573" s="61"/>
      <c r="DB573" s="61"/>
      <c r="DC573" s="61"/>
      <c r="DD573" s="61"/>
      <c r="DE573" s="61"/>
      <c r="DF573" s="61"/>
      <c r="DG573" s="61"/>
      <c r="DH573" s="61"/>
      <c r="DI573" s="61"/>
      <c r="DJ573" s="61"/>
      <c r="DK573" s="61"/>
    </row>
    <row r="574" spans="1:115" ht="21" customHeight="1" x14ac:dyDescent="0.2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108"/>
      <c r="N574" s="108"/>
      <c r="O574" s="108"/>
      <c r="P574" s="108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  <c r="CD574" s="61"/>
      <c r="CE574" s="61"/>
      <c r="CF574" s="61"/>
      <c r="CG574" s="61"/>
      <c r="CH574" s="61"/>
      <c r="CI574" s="61"/>
      <c r="CJ574" s="61"/>
      <c r="CK574" s="61"/>
      <c r="CL574" s="61"/>
      <c r="CM574" s="61"/>
      <c r="CN574" s="61"/>
      <c r="CO574" s="61"/>
      <c r="CP574" s="61"/>
      <c r="CQ574" s="61"/>
      <c r="CR574" s="61"/>
      <c r="CS574" s="61"/>
      <c r="CT574" s="61"/>
      <c r="CU574" s="61"/>
      <c r="CV574" s="61"/>
      <c r="CW574" s="61"/>
      <c r="CX574" s="61"/>
      <c r="CY574" s="61"/>
      <c r="CZ574" s="61"/>
      <c r="DA574" s="61"/>
      <c r="DB574" s="61"/>
      <c r="DC574" s="61"/>
      <c r="DD574" s="61"/>
      <c r="DE574" s="61"/>
      <c r="DF574" s="61"/>
      <c r="DG574" s="61"/>
      <c r="DH574" s="61"/>
      <c r="DI574" s="61"/>
      <c r="DJ574" s="61"/>
      <c r="DK574" s="61"/>
    </row>
    <row r="575" spans="1:115" ht="21" customHeight="1" x14ac:dyDescent="0.2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108"/>
      <c r="N575" s="108"/>
      <c r="O575" s="108"/>
      <c r="P575" s="108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  <c r="CD575" s="61"/>
      <c r="CE575" s="61"/>
      <c r="CF575" s="61"/>
      <c r="CG575" s="61"/>
      <c r="CH575" s="61"/>
      <c r="CI575" s="61"/>
      <c r="CJ575" s="61"/>
      <c r="CK575" s="61"/>
      <c r="CL575" s="61"/>
      <c r="CM575" s="61"/>
      <c r="CN575" s="61"/>
      <c r="CO575" s="61"/>
      <c r="CP575" s="61"/>
      <c r="CQ575" s="61"/>
      <c r="CR575" s="61"/>
      <c r="CS575" s="61"/>
      <c r="CT575" s="61"/>
      <c r="CU575" s="61"/>
      <c r="CV575" s="61"/>
      <c r="CW575" s="61"/>
      <c r="CX575" s="61"/>
      <c r="CY575" s="61"/>
      <c r="CZ575" s="61"/>
      <c r="DA575" s="61"/>
      <c r="DB575" s="61"/>
      <c r="DC575" s="61"/>
      <c r="DD575" s="61"/>
      <c r="DE575" s="61"/>
      <c r="DF575" s="61"/>
      <c r="DG575" s="61"/>
      <c r="DH575" s="61"/>
      <c r="DI575" s="61"/>
      <c r="DJ575" s="61"/>
      <c r="DK575" s="61"/>
    </row>
    <row r="576" spans="1:115" ht="21" customHeight="1" x14ac:dyDescent="0.2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108"/>
      <c r="N576" s="108"/>
      <c r="O576" s="108"/>
      <c r="P576" s="108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  <c r="CN576" s="61"/>
      <c r="CO576" s="61"/>
      <c r="CP576" s="61"/>
      <c r="CQ576" s="61"/>
      <c r="CR576" s="61"/>
      <c r="CS576" s="61"/>
      <c r="CT576" s="61"/>
      <c r="CU576" s="61"/>
      <c r="CV576" s="61"/>
      <c r="CW576" s="61"/>
      <c r="CX576" s="61"/>
      <c r="CY576" s="61"/>
      <c r="CZ576" s="61"/>
      <c r="DA576" s="61"/>
      <c r="DB576" s="61"/>
      <c r="DC576" s="61"/>
      <c r="DD576" s="61"/>
      <c r="DE576" s="61"/>
      <c r="DF576" s="61"/>
      <c r="DG576" s="61"/>
      <c r="DH576" s="61"/>
      <c r="DI576" s="61"/>
      <c r="DJ576" s="61"/>
      <c r="DK576" s="61"/>
    </row>
    <row r="577" spans="1:115" ht="21" customHeight="1" x14ac:dyDescent="0.2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108"/>
      <c r="N577" s="108"/>
      <c r="O577" s="108"/>
      <c r="P577" s="108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  <c r="CN577" s="61"/>
      <c r="CO577" s="61"/>
      <c r="CP577" s="61"/>
      <c r="CQ577" s="61"/>
      <c r="CR577" s="61"/>
      <c r="CS577" s="61"/>
      <c r="CT577" s="61"/>
      <c r="CU577" s="61"/>
      <c r="CV577" s="61"/>
      <c r="CW577" s="61"/>
      <c r="CX577" s="61"/>
      <c r="CY577" s="61"/>
      <c r="CZ577" s="61"/>
      <c r="DA577" s="61"/>
      <c r="DB577" s="61"/>
      <c r="DC577" s="61"/>
      <c r="DD577" s="61"/>
      <c r="DE577" s="61"/>
      <c r="DF577" s="61"/>
      <c r="DG577" s="61"/>
      <c r="DH577" s="61"/>
      <c r="DI577" s="61"/>
      <c r="DJ577" s="61"/>
      <c r="DK577" s="61"/>
    </row>
    <row r="578" spans="1:115" ht="21" customHeight="1" x14ac:dyDescent="0.2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108"/>
      <c r="N578" s="108"/>
      <c r="O578" s="108"/>
      <c r="P578" s="108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  <c r="CD578" s="61"/>
      <c r="CE578" s="61"/>
      <c r="CF578" s="61"/>
      <c r="CG578" s="61"/>
      <c r="CH578" s="61"/>
      <c r="CI578" s="61"/>
      <c r="CJ578" s="61"/>
      <c r="CK578" s="61"/>
      <c r="CL578" s="61"/>
      <c r="CM578" s="61"/>
      <c r="CN578" s="61"/>
      <c r="CO578" s="61"/>
      <c r="CP578" s="61"/>
      <c r="CQ578" s="61"/>
      <c r="CR578" s="61"/>
      <c r="CS578" s="61"/>
      <c r="CT578" s="61"/>
      <c r="CU578" s="61"/>
      <c r="CV578" s="61"/>
      <c r="CW578" s="61"/>
      <c r="CX578" s="61"/>
      <c r="CY578" s="61"/>
      <c r="CZ578" s="61"/>
      <c r="DA578" s="61"/>
      <c r="DB578" s="61"/>
      <c r="DC578" s="61"/>
      <c r="DD578" s="61"/>
      <c r="DE578" s="61"/>
      <c r="DF578" s="61"/>
      <c r="DG578" s="61"/>
      <c r="DH578" s="61"/>
      <c r="DI578" s="61"/>
      <c r="DJ578" s="61"/>
      <c r="DK578" s="61"/>
    </row>
    <row r="579" spans="1:115" ht="21" customHeight="1" x14ac:dyDescent="0.2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108"/>
      <c r="N579" s="108"/>
      <c r="O579" s="108"/>
      <c r="P579" s="108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  <c r="CD579" s="61"/>
      <c r="CE579" s="61"/>
      <c r="CF579" s="61"/>
      <c r="CG579" s="61"/>
      <c r="CH579" s="61"/>
      <c r="CI579" s="61"/>
      <c r="CJ579" s="61"/>
      <c r="CK579" s="61"/>
      <c r="CL579" s="61"/>
      <c r="CM579" s="61"/>
      <c r="CN579" s="61"/>
      <c r="CO579" s="61"/>
      <c r="CP579" s="61"/>
      <c r="CQ579" s="61"/>
      <c r="CR579" s="61"/>
      <c r="CS579" s="61"/>
      <c r="CT579" s="61"/>
      <c r="CU579" s="61"/>
      <c r="CV579" s="61"/>
      <c r="CW579" s="61"/>
      <c r="CX579" s="61"/>
      <c r="CY579" s="61"/>
      <c r="CZ579" s="61"/>
      <c r="DA579" s="61"/>
      <c r="DB579" s="61"/>
      <c r="DC579" s="61"/>
      <c r="DD579" s="61"/>
      <c r="DE579" s="61"/>
      <c r="DF579" s="61"/>
      <c r="DG579" s="61"/>
      <c r="DH579" s="61"/>
      <c r="DI579" s="61"/>
      <c r="DJ579" s="61"/>
      <c r="DK579" s="61"/>
    </row>
    <row r="580" spans="1:115" ht="21" customHeight="1" x14ac:dyDescent="0.2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108"/>
      <c r="N580" s="108"/>
      <c r="O580" s="108"/>
      <c r="P580" s="108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  <c r="CD580" s="61"/>
      <c r="CE580" s="61"/>
      <c r="CF580" s="61"/>
      <c r="CG580" s="61"/>
      <c r="CH580" s="61"/>
      <c r="CI580" s="61"/>
      <c r="CJ580" s="61"/>
      <c r="CK580" s="61"/>
      <c r="CL580" s="61"/>
      <c r="CM580" s="61"/>
      <c r="CN580" s="61"/>
      <c r="CO580" s="61"/>
      <c r="CP580" s="61"/>
      <c r="CQ580" s="61"/>
      <c r="CR580" s="61"/>
      <c r="CS580" s="61"/>
      <c r="CT580" s="61"/>
      <c r="CU580" s="61"/>
      <c r="CV580" s="61"/>
      <c r="CW580" s="61"/>
      <c r="CX580" s="61"/>
      <c r="CY580" s="61"/>
      <c r="CZ580" s="61"/>
      <c r="DA580" s="61"/>
      <c r="DB580" s="61"/>
      <c r="DC580" s="61"/>
      <c r="DD580" s="61"/>
      <c r="DE580" s="61"/>
      <c r="DF580" s="61"/>
      <c r="DG580" s="61"/>
      <c r="DH580" s="61"/>
      <c r="DI580" s="61"/>
      <c r="DJ580" s="61"/>
      <c r="DK580" s="61"/>
    </row>
    <row r="581" spans="1:115" ht="21" customHeight="1" x14ac:dyDescent="0.2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108"/>
      <c r="N581" s="108"/>
      <c r="O581" s="108"/>
      <c r="P581" s="108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  <c r="CD581" s="61"/>
      <c r="CE581" s="61"/>
      <c r="CF581" s="61"/>
      <c r="CG581" s="61"/>
      <c r="CH581" s="61"/>
      <c r="CI581" s="61"/>
      <c r="CJ581" s="61"/>
      <c r="CK581" s="61"/>
      <c r="CL581" s="61"/>
      <c r="CM581" s="61"/>
      <c r="CN581" s="61"/>
      <c r="CO581" s="61"/>
      <c r="CP581" s="61"/>
      <c r="CQ581" s="61"/>
      <c r="CR581" s="61"/>
      <c r="CS581" s="61"/>
      <c r="CT581" s="61"/>
      <c r="CU581" s="61"/>
      <c r="CV581" s="61"/>
      <c r="CW581" s="61"/>
      <c r="CX581" s="61"/>
      <c r="CY581" s="61"/>
      <c r="CZ581" s="61"/>
      <c r="DA581" s="61"/>
      <c r="DB581" s="61"/>
      <c r="DC581" s="61"/>
      <c r="DD581" s="61"/>
      <c r="DE581" s="61"/>
      <c r="DF581" s="61"/>
      <c r="DG581" s="61"/>
      <c r="DH581" s="61"/>
      <c r="DI581" s="61"/>
      <c r="DJ581" s="61"/>
      <c r="DK581" s="61"/>
    </row>
    <row r="582" spans="1:115" ht="21" customHeight="1" x14ac:dyDescent="0.2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108"/>
      <c r="N582" s="108"/>
      <c r="O582" s="108"/>
      <c r="P582" s="108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  <c r="CD582" s="61"/>
      <c r="CE582" s="61"/>
      <c r="CF582" s="61"/>
      <c r="CG582" s="61"/>
      <c r="CH582" s="61"/>
      <c r="CI582" s="61"/>
      <c r="CJ582" s="61"/>
      <c r="CK582" s="61"/>
      <c r="CL582" s="61"/>
      <c r="CM582" s="61"/>
      <c r="CN582" s="61"/>
      <c r="CO582" s="61"/>
      <c r="CP582" s="61"/>
      <c r="CQ582" s="61"/>
      <c r="CR582" s="61"/>
      <c r="CS582" s="61"/>
      <c r="CT582" s="61"/>
      <c r="CU582" s="61"/>
      <c r="CV582" s="61"/>
      <c r="CW582" s="61"/>
      <c r="CX582" s="61"/>
      <c r="CY582" s="61"/>
      <c r="CZ582" s="61"/>
      <c r="DA582" s="61"/>
      <c r="DB582" s="61"/>
      <c r="DC582" s="61"/>
      <c r="DD582" s="61"/>
      <c r="DE582" s="61"/>
      <c r="DF582" s="61"/>
      <c r="DG582" s="61"/>
      <c r="DH582" s="61"/>
      <c r="DI582" s="61"/>
      <c r="DJ582" s="61"/>
      <c r="DK582" s="61"/>
    </row>
    <row r="583" spans="1:115" ht="21" customHeight="1" x14ac:dyDescent="0.2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108"/>
      <c r="N583" s="108"/>
      <c r="O583" s="108"/>
      <c r="P583" s="108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  <c r="CD583" s="61"/>
      <c r="CE583" s="61"/>
      <c r="CF583" s="61"/>
      <c r="CG583" s="61"/>
      <c r="CH583" s="61"/>
      <c r="CI583" s="61"/>
      <c r="CJ583" s="61"/>
      <c r="CK583" s="61"/>
      <c r="CL583" s="61"/>
      <c r="CM583" s="61"/>
      <c r="CN583" s="61"/>
      <c r="CO583" s="61"/>
      <c r="CP583" s="61"/>
      <c r="CQ583" s="61"/>
      <c r="CR583" s="61"/>
      <c r="CS583" s="61"/>
      <c r="CT583" s="61"/>
      <c r="CU583" s="61"/>
      <c r="CV583" s="61"/>
      <c r="CW583" s="61"/>
      <c r="CX583" s="61"/>
      <c r="CY583" s="61"/>
      <c r="CZ583" s="61"/>
      <c r="DA583" s="61"/>
      <c r="DB583" s="61"/>
      <c r="DC583" s="61"/>
      <c r="DD583" s="61"/>
      <c r="DE583" s="61"/>
      <c r="DF583" s="61"/>
      <c r="DG583" s="61"/>
      <c r="DH583" s="61"/>
      <c r="DI583" s="61"/>
      <c r="DJ583" s="61"/>
      <c r="DK583" s="61"/>
    </row>
    <row r="584" spans="1:115" ht="21" customHeight="1" x14ac:dyDescent="0.2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108"/>
      <c r="N584" s="108"/>
      <c r="O584" s="108"/>
      <c r="P584" s="108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  <c r="CD584" s="61"/>
      <c r="CE584" s="61"/>
      <c r="CF584" s="61"/>
      <c r="CG584" s="61"/>
      <c r="CH584" s="61"/>
      <c r="CI584" s="61"/>
      <c r="CJ584" s="61"/>
      <c r="CK584" s="61"/>
      <c r="CL584" s="61"/>
      <c r="CM584" s="61"/>
      <c r="CN584" s="61"/>
      <c r="CO584" s="61"/>
      <c r="CP584" s="61"/>
      <c r="CQ584" s="61"/>
      <c r="CR584" s="61"/>
      <c r="CS584" s="61"/>
      <c r="CT584" s="61"/>
      <c r="CU584" s="61"/>
      <c r="CV584" s="61"/>
      <c r="CW584" s="61"/>
      <c r="CX584" s="61"/>
      <c r="CY584" s="61"/>
      <c r="CZ584" s="61"/>
      <c r="DA584" s="61"/>
      <c r="DB584" s="61"/>
      <c r="DC584" s="61"/>
      <c r="DD584" s="61"/>
      <c r="DE584" s="61"/>
      <c r="DF584" s="61"/>
      <c r="DG584" s="61"/>
      <c r="DH584" s="61"/>
      <c r="DI584" s="61"/>
      <c r="DJ584" s="61"/>
      <c r="DK584" s="61"/>
    </row>
    <row r="585" spans="1:115" ht="21" customHeight="1" x14ac:dyDescent="0.2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108"/>
      <c r="N585" s="108"/>
      <c r="O585" s="108"/>
      <c r="P585" s="108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  <c r="CD585" s="61"/>
      <c r="CE585" s="61"/>
      <c r="CF585" s="61"/>
      <c r="CG585" s="61"/>
      <c r="CH585" s="61"/>
      <c r="CI585" s="61"/>
      <c r="CJ585" s="61"/>
      <c r="CK585" s="61"/>
      <c r="CL585" s="61"/>
      <c r="CM585" s="61"/>
      <c r="CN585" s="61"/>
      <c r="CO585" s="61"/>
      <c r="CP585" s="61"/>
      <c r="CQ585" s="61"/>
      <c r="CR585" s="61"/>
      <c r="CS585" s="61"/>
      <c r="CT585" s="61"/>
      <c r="CU585" s="61"/>
      <c r="CV585" s="61"/>
      <c r="CW585" s="61"/>
      <c r="CX585" s="61"/>
      <c r="CY585" s="61"/>
      <c r="CZ585" s="61"/>
      <c r="DA585" s="61"/>
      <c r="DB585" s="61"/>
      <c r="DC585" s="61"/>
      <c r="DD585" s="61"/>
      <c r="DE585" s="61"/>
      <c r="DF585" s="61"/>
      <c r="DG585" s="61"/>
      <c r="DH585" s="61"/>
      <c r="DI585" s="61"/>
      <c r="DJ585" s="61"/>
      <c r="DK585" s="61"/>
    </row>
    <row r="586" spans="1:115" ht="21" customHeight="1" x14ac:dyDescent="0.2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108"/>
      <c r="N586" s="108"/>
      <c r="O586" s="108"/>
      <c r="P586" s="108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  <c r="CD586" s="61"/>
      <c r="CE586" s="61"/>
      <c r="CF586" s="61"/>
      <c r="CG586" s="61"/>
      <c r="CH586" s="61"/>
      <c r="CI586" s="61"/>
      <c r="CJ586" s="61"/>
      <c r="CK586" s="61"/>
      <c r="CL586" s="61"/>
      <c r="CM586" s="61"/>
      <c r="CN586" s="61"/>
      <c r="CO586" s="61"/>
      <c r="CP586" s="61"/>
      <c r="CQ586" s="61"/>
      <c r="CR586" s="61"/>
      <c r="CS586" s="61"/>
      <c r="CT586" s="61"/>
      <c r="CU586" s="61"/>
      <c r="CV586" s="61"/>
      <c r="CW586" s="61"/>
      <c r="CX586" s="61"/>
      <c r="CY586" s="61"/>
      <c r="CZ586" s="61"/>
      <c r="DA586" s="61"/>
      <c r="DB586" s="61"/>
      <c r="DC586" s="61"/>
      <c r="DD586" s="61"/>
      <c r="DE586" s="61"/>
      <c r="DF586" s="61"/>
      <c r="DG586" s="61"/>
      <c r="DH586" s="61"/>
      <c r="DI586" s="61"/>
      <c r="DJ586" s="61"/>
      <c r="DK586" s="61"/>
    </row>
    <row r="587" spans="1:115" ht="21" customHeight="1" x14ac:dyDescent="0.2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108"/>
      <c r="N587" s="108"/>
      <c r="O587" s="108"/>
      <c r="P587" s="108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  <c r="CD587" s="61"/>
      <c r="CE587" s="61"/>
      <c r="CF587" s="61"/>
      <c r="CG587" s="61"/>
      <c r="CH587" s="61"/>
      <c r="CI587" s="61"/>
      <c r="CJ587" s="61"/>
      <c r="CK587" s="61"/>
      <c r="CL587" s="61"/>
      <c r="CM587" s="61"/>
      <c r="CN587" s="61"/>
      <c r="CO587" s="61"/>
      <c r="CP587" s="61"/>
      <c r="CQ587" s="61"/>
      <c r="CR587" s="61"/>
      <c r="CS587" s="61"/>
      <c r="CT587" s="61"/>
      <c r="CU587" s="61"/>
      <c r="CV587" s="61"/>
      <c r="CW587" s="61"/>
      <c r="CX587" s="61"/>
      <c r="CY587" s="61"/>
      <c r="CZ587" s="61"/>
      <c r="DA587" s="61"/>
      <c r="DB587" s="61"/>
      <c r="DC587" s="61"/>
      <c r="DD587" s="61"/>
      <c r="DE587" s="61"/>
      <c r="DF587" s="61"/>
      <c r="DG587" s="61"/>
      <c r="DH587" s="61"/>
      <c r="DI587" s="61"/>
      <c r="DJ587" s="61"/>
      <c r="DK587" s="61"/>
    </row>
    <row r="588" spans="1:115" ht="21" customHeight="1" x14ac:dyDescent="0.2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108"/>
      <c r="N588" s="108"/>
      <c r="O588" s="108"/>
      <c r="P588" s="108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  <c r="CD588" s="61"/>
      <c r="CE588" s="61"/>
      <c r="CF588" s="61"/>
      <c r="CG588" s="61"/>
      <c r="CH588" s="61"/>
      <c r="CI588" s="61"/>
      <c r="CJ588" s="61"/>
      <c r="CK588" s="61"/>
      <c r="CL588" s="61"/>
      <c r="CM588" s="61"/>
      <c r="CN588" s="61"/>
      <c r="CO588" s="61"/>
      <c r="CP588" s="61"/>
      <c r="CQ588" s="61"/>
      <c r="CR588" s="61"/>
      <c r="CS588" s="61"/>
      <c r="CT588" s="61"/>
      <c r="CU588" s="61"/>
      <c r="CV588" s="61"/>
      <c r="CW588" s="61"/>
      <c r="CX588" s="61"/>
      <c r="CY588" s="61"/>
      <c r="CZ588" s="61"/>
      <c r="DA588" s="61"/>
      <c r="DB588" s="61"/>
      <c r="DC588" s="61"/>
      <c r="DD588" s="61"/>
      <c r="DE588" s="61"/>
      <c r="DF588" s="61"/>
      <c r="DG588" s="61"/>
      <c r="DH588" s="61"/>
      <c r="DI588" s="61"/>
      <c r="DJ588" s="61"/>
      <c r="DK588" s="61"/>
    </row>
    <row r="589" spans="1:115" ht="21" customHeight="1" x14ac:dyDescent="0.2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108"/>
      <c r="N589" s="108"/>
      <c r="O589" s="108"/>
      <c r="P589" s="108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  <c r="CD589" s="61"/>
      <c r="CE589" s="61"/>
      <c r="CF589" s="61"/>
      <c r="CG589" s="61"/>
      <c r="CH589" s="61"/>
      <c r="CI589" s="61"/>
      <c r="CJ589" s="61"/>
      <c r="CK589" s="61"/>
      <c r="CL589" s="61"/>
      <c r="CM589" s="61"/>
      <c r="CN589" s="61"/>
      <c r="CO589" s="61"/>
      <c r="CP589" s="61"/>
      <c r="CQ589" s="61"/>
      <c r="CR589" s="61"/>
      <c r="CS589" s="61"/>
      <c r="CT589" s="61"/>
      <c r="CU589" s="61"/>
      <c r="CV589" s="61"/>
      <c r="CW589" s="61"/>
      <c r="CX589" s="61"/>
      <c r="CY589" s="61"/>
      <c r="CZ589" s="61"/>
      <c r="DA589" s="61"/>
      <c r="DB589" s="61"/>
      <c r="DC589" s="61"/>
      <c r="DD589" s="61"/>
      <c r="DE589" s="61"/>
      <c r="DF589" s="61"/>
      <c r="DG589" s="61"/>
      <c r="DH589" s="61"/>
      <c r="DI589" s="61"/>
      <c r="DJ589" s="61"/>
      <c r="DK589" s="61"/>
    </row>
    <row r="590" spans="1:115" ht="21" customHeight="1" x14ac:dyDescent="0.2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108"/>
      <c r="N590" s="108"/>
      <c r="O590" s="108"/>
      <c r="P590" s="108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  <c r="CD590" s="61"/>
      <c r="CE590" s="61"/>
      <c r="CF590" s="61"/>
      <c r="CG590" s="61"/>
      <c r="CH590" s="61"/>
      <c r="CI590" s="61"/>
      <c r="CJ590" s="61"/>
      <c r="CK590" s="61"/>
      <c r="CL590" s="61"/>
      <c r="CM590" s="61"/>
      <c r="CN590" s="61"/>
      <c r="CO590" s="61"/>
      <c r="CP590" s="61"/>
      <c r="CQ590" s="61"/>
      <c r="CR590" s="61"/>
      <c r="CS590" s="61"/>
      <c r="CT590" s="61"/>
      <c r="CU590" s="61"/>
      <c r="CV590" s="61"/>
      <c r="CW590" s="61"/>
      <c r="CX590" s="61"/>
      <c r="CY590" s="61"/>
      <c r="CZ590" s="61"/>
      <c r="DA590" s="61"/>
      <c r="DB590" s="61"/>
      <c r="DC590" s="61"/>
      <c r="DD590" s="61"/>
      <c r="DE590" s="61"/>
      <c r="DF590" s="61"/>
      <c r="DG590" s="61"/>
      <c r="DH590" s="61"/>
      <c r="DI590" s="61"/>
      <c r="DJ590" s="61"/>
      <c r="DK590" s="61"/>
    </row>
    <row r="591" spans="1:115" ht="21" customHeight="1" x14ac:dyDescent="0.2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108"/>
      <c r="N591" s="108"/>
      <c r="O591" s="108"/>
      <c r="P591" s="108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  <c r="CN591" s="61"/>
      <c r="CO591" s="61"/>
      <c r="CP591" s="61"/>
      <c r="CQ591" s="61"/>
      <c r="CR591" s="61"/>
      <c r="CS591" s="61"/>
      <c r="CT591" s="61"/>
      <c r="CU591" s="61"/>
      <c r="CV591" s="61"/>
      <c r="CW591" s="61"/>
      <c r="CX591" s="61"/>
      <c r="CY591" s="61"/>
      <c r="CZ591" s="61"/>
      <c r="DA591" s="61"/>
      <c r="DB591" s="61"/>
      <c r="DC591" s="61"/>
      <c r="DD591" s="61"/>
      <c r="DE591" s="61"/>
      <c r="DF591" s="61"/>
      <c r="DG591" s="61"/>
      <c r="DH591" s="61"/>
      <c r="DI591" s="61"/>
      <c r="DJ591" s="61"/>
      <c r="DK591" s="61"/>
    </row>
    <row r="592" spans="1:115" ht="21" customHeight="1" x14ac:dyDescent="0.2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108"/>
      <c r="N592" s="108"/>
      <c r="O592" s="108"/>
      <c r="P592" s="108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  <c r="CD592" s="61"/>
      <c r="CE592" s="61"/>
      <c r="CF592" s="61"/>
      <c r="CG592" s="61"/>
      <c r="CH592" s="61"/>
      <c r="CI592" s="61"/>
      <c r="CJ592" s="61"/>
      <c r="CK592" s="61"/>
      <c r="CL592" s="61"/>
      <c r="CM592" s="61"/>
      <c r="CN592" s="61"/>
      <c r="CO592" s="61"/>
      <c r="CP592" s="61"/>
      <c r="CQ592" s="61"/>
      <c r="CR592" s="61"/>
      <c r="CS592" s="61"/>
      <c r="CT592" s="61"/>
      <c r="CU592" s="61"/>
      <c r="CV592" s="61"/>
      <c r="CW592" s="61"/>
      <c r="CX592" s="61"/>
      <c r="CY592" s="61"/>
      <c r="CZ592" s="61"/>
      <c r="DA592" s="61"/>
      <c r="DB592" s="61"/>
      <c r="DC592" s="61"/>
      <c r="DD592" s="61"/>
      <c r="DE592" s="61"/>
      <c r="DF592" s="61"/>
      <c r="DG592" s="61"/>
      <c r="DH592" s="61"/>
      <c r="DI592" s="61"/>
      <c r="DJ592" s="61"/>
      <c r="DK592" s="61"/>
    </row>
    <row r="593" spans="1:115" ht="21" customHeight="1" x14ac:dyDescent="0.2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108"/>
      <c r="N593" s="108"/>
      <c r="O593" s="108"/>
      <c r="P593" s="108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  <c r="CD593" s="61"/>
      <c r="CE593" s="61"/>
      <c r="CF593" s="61"/>
      <c r="CG593" s="61"/>
      <c r="CH593" s="61"/>
      <c r="CI593" s="61"/>
      <c r="CJ593" s="61"/>
      <c r="CK593" s="61"/>
      <c r="CL593" s="61"/>
      <c r="CM593" s="61"/>
      <c r="CN593" s="61"/>
      <c r="CO593" s="61"/>
      <c r="CP593" s="61"/>
      <c r="CQ593" s="61"/>
      <c r="CR593" s="61"/>
      <c r="CS593" s="61"/>
      <c r="CT593" s="61"/>
      <c r="CU593" s="61"/>
      <c r="CV593" s="61"/>
      <c r="CW593" s="61"/>
      <c r="CX593" s="61"/>
      <c r="CY593" s="61"/>
      <c r="CZ593" s="61"/>
      <c r="DA593" s="61"/>
      <c r="DB593" s="61"/>
      <c r="DC593" s="61"/>
      <c r="DD593" s="61"/>
      <c r="DE593" s="61"/>
      <c r="DF593" s="61"/>
      <c r="DG593" s="61"/>
      <c r="DH593" s="61"/>
      <c r="DI593" s="61"/>
      <c r="DJ593" s="61"/>
      <c r="DK593" s="61"/>
    </row>
    <row r="594" spans="1:115" ht="21" customHeight="1" x14ac:dyDescent="0.2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108"/>
      <c r="N594" s="108"/>
      <c r="O594" s="108"/>
      <c r="P594" s="108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  <c r="CM594" s="61"/>
      <c r="CN594" s="61"/>
      <c r="CO594" s="61"/>
      <c r="CP594" s="61"/>
      <c r="CQ594" s="61"/>
      <c r="CR594" s="61"/>
      <c r="CS594" s="61"/>
      <c r="CT594" s="61"/>
      <c r="CU594" s="61"/>
      <c r="CV594" s="61"/>
      <c r="CW594" s="61"/>
      <c r="CX594" s="61"/>
      <c r="CY594" s="61"/>
      <c r="CZ594" s="61"/>
      <c r="DA594" s="61"/>
      <c r="DB594" s="61"/>
      <c r="DC594" s="61"/>
      <c r="DD594" s="61"/>
      <c r="DE594" s="61"/>
      <c r="DF594" s="61"/>
      <c r="DG594" s="61"/>
      <c r="DH594" s="61"/>
      <c r="DI594" s="61"/>
      <c r="DJ594" s="61"/>
      <c r="DK594" s="61"/>
    </row>
    <row r="595" spans="1:115" ht="21" customHeight="1" x14ac:dyDescent="0.2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108"/>
      <c r="N595" s="108"/>
      <c r="O595" s="108"/>
      <c r="P595" s="108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  <c r="CD595" s="61"/>
      <c r="CE595" s="61"/>
      <c r="CF595" s="61"/>
      <c r="CG595" s="61"/>
      <c r="CH595" s="61"/>
      <c r="CI595" s="61"/>
      <c r="CJ595" s="61"/>
      <c r="CK595" s="61"/>
      <c r="CL595" s="61"/>
      <c r="CM595" s="61"/>
      <c r="CN595" s="61"/>
      <c r="CO595" s="61"/>
      <c r="CP595" s="61"/>
      <c r="CQ595" s="61"/>
      <c r="CR595" s="61"/>
      <c r="CS595" s="61"/>
      <c r="CT595" s="61"/>
      <c r="CU595" s="61"/>
      <c r="CV595" s="61"/>
      <c r="CW595" s="61"/>
      <c r="CX595" s="61"/>
      <c r="CY595" s="61"/>
      <c r="CZ595" s="61"/>
      <c r="DA595" s="61"/>
      <c r="DB595" s="61"/>
      <c r="DC595" s="61"/>
      <c r="DD595" s="61"/>
      <c r="DE595" s="61"/>
      <c r="DF595" s="61"/>
      <c r="DG595" s="61"/>
      <c r="DH595" s="61"/>
      <c r="DI595" s="61"/>
      <c r="DJ595" s="61"/>
      <c r="DK595" s="61"/>
    </row>
    <row r="596" spans="1:115" ht="21" customHeight="1" x14ac:dyDescent="0.2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108"/>
      <c r="N596" s="108"/>
      <c r="O596" s="108"/>
      <c r="P596" s="108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  <c r="CD596" s="61"/>
      <c r="CE596" s="61"/>
      <c r="CF596" s="61"/>
      <c r="CG596" s="61"/>
      <c r="CH596" s="61"/>
      <c r="CI596" s="61"/>
      <c r="CJ596" s="61"/>
      <c r="CK596" s="61"/>
      <c r="CL596" s="61"/>
      <c r="CM596" s="61"/>
      <c r="CN596" s="61"/>
      <c r="CO596" s="61"/>
      <c r="CP596" s="61"/>
      <c r="CQ596" s="61"/>
      <c r="CR596" s="61"/>
      <c r="CS596" s="61"/>
      <c r="CT596" s="61"/>
      <c r="CU596" s="61"/>
      <c r="CV596" s="61"/>
      <c r="CW596" s="61"/>
      <c r="CX596" s="61"/>
      <c r="CY596" s="61"/>
      <c r="CZ596" s="61"/>
      <c r="DA596" s="61"/>
      <c r="DB596" s="61"/>
      <c r="DC596" s="61"/>
      <c r="DD596" s="61"/>
      <c r="DE596" s="61"/>
      <c r="DF596" s="61"/>
      <c r="DG596" s="61"/>
      <c r="DH596" s="61"/>
      <c r="DI596" s="61"/>
      <c r="DJ596" s="61"/>
      <c r="DK596" s="61"/>
    </row>
    <row r="597" spans="1:115" ht="21" customHeight="1" x14ac:dyDescent="0.2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108"/>
      <c r="N597" s="108"/>
      <c r="O597" s="108"/>
      <c r="P597" s="108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  <c r="CD597" s="61"/>
      <c r="CE597" s="61"/>
      <c r="CF597" s="61"/>
      <c r="CG597" s="61"/>
      <c r="CH597" s="61"/>
      <c r="CI597" s="61"/>
      <c r="CJ597" s="61"/>
      <c r="CK597" s="61"/>
      <c r="CL597" s="61"/>
      <c r="CM597" s="61"/>
      <c r="CN597" s="61"/>
      <c r="CO597" s="61"/>
      <c r="CP597" s="61"/>
      <c r="CQ597" s="61"/>
      <c r="CR597" s="61"/>
      <c r="CS597" s="61"/>
      <c r="CT597" s="61"/>
      <c r="CU597" s="61"/>
      <c r="CV597" s="61"/>
      <c r="CW597" s="61"/>
      <c r="CX597" s="61"/>
      <c r="CY597" s="61"/>
      <c r="CZ597" s="61"/>
      <c r="DA597" s="61"/>
      <c r="DB597" s="61"/>
      <c r="DC597" s="61"/>
      <c r="DD597" s="61"/>
      <c r="DE597" s="61"/>
      <c r="DF597" s="61"/>
      <c r="DG597" s="61"/>
      <c r="DH597" s="61"/>
      <c r="DI597" s="61"/>
      <c r="DJ597" s="61"/>
      <c r="DK597" s="61"/>
    </row>
    <row r="598" spans="1:115" ht="21" customHeight="1" x14ac:dyDescent="0.2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108"/>
      <c r="N598" s="108"/>
      <c r="O598" s="108"/>
      <c r="P598" s="108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  <c r="CD598" s="61"/>
      <c r="CE598" s="61"/>
      <c r="CF598" s="61"/>
      <c r="CG598" s="61"/>
      <c r="CH598" s="61"/>
      <c r="CI598" s="61"/>
      <c r="CJ598" s="61"/>
      <c r="CK598" s="61"/>
      <c r="CL598" s="61"/>
      <c r="CM598" s="61"/>
      <c r="CN598" s="61"/>
      <c r="CO598" s="61"/>
      <c r="CP598" s="61"/>
      <c r="CQ598" s="61"/>
      <c r="CR598" s="61"/>
      <c r="CS598" s="61"/>
      <c r="CT598" s="61"/>
      <c r="CU598" s="61"/>
      <c r="CV598" s="61"/>
      <c r="CW598" s="61"/>
      <c r="CX598" s="61"/>
      <c r="CY598" s="61"/>
      <c r="CZ598" s="61"/>
      <c r="DA598" s="61"/>
      <c r="DB598" s="61"/>
      <c r="DC598" s="61"/>
      <c r="DD598" s="61"/>
      <c r="DE598" s="61"/>
      <c r="DF598" s="61"/>
      <c r="DG598" s="61"/>
      <c r="DH598" s="61"/>
      <c r="DI598" s="61"/>
      <c r="DJ598" s="61"/>
      <c r="DK598" s="61"/>
    </row>
    <row r="599" spans="1:115" ht="21" customHeight="1" x14ac:dyDescent="0.2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108"/>
      <c r="N599" s="108"/>
      <c r="O599" s="108"/>
      <c r="P599" s="108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  <c r="CD599" s="61"/>
      <c r="CE599" s="61"/>
      <c r="CF599" s="61"/>
      <c r="CG599" s="61"/>
      <c r="CH599" s="61"/>
      <c r="CI599" s="61"/>
      <c r="CJ599" s="61"/>
      <c r="CK599" s="61"/>
      <c r="CL599" s="61"/>
      <c r="CM599" s="61"/>
      <c r="CN599" s="61"/>
      <c r="CO599" s="61"/>
      <c r="CP599" s="61"/>
      <c r="CQ599" s="61"/>
      <c r="CR599" s="61"/>
      <c r="CS599" s="61"/>
      <c r="CT599" s="61"/>
      <c r="CU599" s="61"/>
      <c r="CV599" s="61"/>
      <c r="CW599" s="61"/>
      <c r="CX599" s="61"/>
      <c r="CY599" s="61"/>
      <c r="CZ599" s="61"/>
      <c r="DA599" s="61"/>
      <c r="DB599" s="61"/>
      <c r="DC599" s="61"/>
      <c r="DD599" s="61"/>
      <c r="DE599" s="61"/>
      <c r="DF599" s="61"/>
      <c r="DG599" s="61"/>
      <c r="DH599" s="61"/>
      <c r="DI599" s="61"/>
      <c r="DJ599" s="61"/>
      <c r="DK599" s="61"/>
    </row>
    <row r="600" spans="1:115" ht="21" customHeight="1" x14ac:dyDescent="0.2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108"/>
      <c r="N600" s="108"/>
      <c r="O600" s="108"/>
      <c r="P600" s="108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  <c r="CD600" s="61"/>
      <c r="CE600" s="61"/>
      <c r="CF600" s="61"/>
      <c r="CG600" s="61"/>
      <c r="CH600" s="61"/>
      <c r="CI600" s="61"/>
      <c r="CJ600" s="61"/>
      <c r="CK600" s="61"/>
      <c r="CL600" s="61"/>
      <c r="CM600" s="61"/>
      <c r="CN600" s="61"/>
      <c r="CO600" s="61"/>
      <c r="CP600" s="61"/>
      <c r="CQ600" s="61"/>
      <c r="CR600" s="61"/>
      <c r="CS600" s="61"/>
      <c r="CT600" s="61"/>
      <c r="CU600" s="61"/>
      <c r="CV600" s="61"/>
      <c r="CW600" s="61"/>
      <c r="CX600" s="61"/>
      <c r="CY600" s="61"/>
      <c r="CZ600" s="61"/>
      <c r="DA600" s="61"/>
      <c r="DB600" s="61"/>
      <c r="DC600" s="61"/>
      <c r="DD600" s="61"/>
      <c r="DE600" s="61"/>
      <c r="DF600" s="61"/>
      <c r="DG600" s="61"/>
      <c r="DH600" s="61"/>
      <c r="DI600" s="61"/>
      <c r="DJ600" s="61"/>
      <c r="DK600" s="61"/>
    </row>
    <row r="601" spans="1:115" ht="21" customHeight="1" x14ac:dyDescent="0.2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108"/>
      <c r="N601" s="108"/>
      <c r="O601" s="108"/>
      <c r="P601" s="108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  <c r="CD601" s="61"/>
      <c r="CE601" s="61"/>
      <c r="CF601" s="61"/>
      <c r="CG601" s="61"/>
      <c r="CH601" s="61"/>
      <c r="CI601" s="61"/>
      <c r="CJ601" s="61"/>
      <c r="CK601" s="61"/>
      <c r="CL601" s="61"/>
      <c r="CM601" s="61"/>
      <c r="CN601" s="61"/>
      <c r="CO601" s="61"/>
      <c r="CP601" s="61"/>
      <c r="CQ601" s="61"/>
      <c r="CR601" s="61"/>
      <c r="CS601" s="61"/>
      <c r="CT601" s="61"/>
      <c r="CU601" s="61"/>
      <c r="CV601" s="61"/>
      <c r="CW601" s="61"/>
      <c r="CX601" s="61"/>
      <c r="CY601" s="61"/>
      <c r="CZ601" s="61"/>
      <c r="DA601" s="61"/>
      <c r="DB601" s="61"/>
      <c r="DC601" s="61"/>
      <c r="DD601" s="61"/>
      <c r="DE601" s="61"/>
      <c r="DF601" s="61"/>
      <c r="DG601" s="61"/>
      <c r="DH601" s="61"/>
      <c r="DI601" s="61"/>
      <c r="DJ601" s="61"/>
      <c r="DK601" s="61"/>
    </row>
    <row r="602" spans="1:115" ht="21" customHeight="1" x14ac:dyDescent="0.2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108"/>
      <c r="N602" s="108"/>
      <c r="O602" s="108"/>
      <c r="P602" s="108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  <c r="CD602" s="61"/>
      <c r="CE602" s="61"/>
      <c r="CF602" s="61"/>
      <c r="CG602" s="61"/>
      <c r="CH602" s="61"/>
      <c r="CI602" s="61"/>
      <c r="CJ602" s="61"/>
      <c r="CK602" s="61"/>
      <c r="CL602" s="61"/>
      <c r="CM602" s="61"/>
      <c r="CN602" s="61"/>
      <c r="CO602" s="61"/>
      <c r="CP602" s="61"/>
      <c r="CQ602" s="61"/>
      <c r="CR602" s="61"/>
      <c r="CS602" s="61"/>
      <c r="CT602" s="61"/>
      <c r="CU602" s="61"/>
      <c r="CV602" s="61"/>
      <c r="CW602" s="61"/>
      <c r="CX602" s="61"/>
      <c r="CY602" s="61"/>
      <c r="CZ602" s="61"/>
      <c r="DA602" s="61"/>
      <c r="DB602" s="61"/>
      <c r="DC602" s="61"/>
      <c r="DD602" s="61"/>
      <c r="DE602" s="61"/>
      <c r="DF602" s="61"/>
      <c r="DG602" s="61"/>
      <c r="DH602" s="61"/>
      <c r="DI602" s="61"/>
      <c r="DJ602" s="61"/>
      <c r="DK602" s="61"/>
    </row>
    <row r="603" spans="1:115" ht="21" customHeight="1" x14ac:dyDescent="0.2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108"/>
      <c r="N603" s="108"/>
      <c r="O603" s="108"/>
      <c r="P603" s="108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  <c r="CD603" s="61"/>
      <c r="CE603" s="61"/>
      <c r="CF603" s="61"/>
      <c r="CG603" s="61"/>
      <c r="CH603" s="61"/>
      <c r="CI603" s="61"/>
      <c r="CJ603" s="61"/>
      <c r="CK603" s="61"/>
      <c r="CL603" s="61"/>
      <c r="CM603" s="61"/>
      <c r="CN603" s="61"/>
      <c r="CO603" s="61"/>
      <c r="CP603" s="61"/>
      <c r="CQ603" s="61"/>
      <c r="CR603" s="61"/>
      <c r="CS603" s="61"/>
      <c r="CT603" s="61"/>
      <c r="CU603" s="61"/>
      <c r="CV603" s="61"/>
      <c r="CW603" s="61"/>
      <c r="CX603" s="61"/>
      <c r="CY603" s="61"/>
      <c r="CZ603" s="61"/>
      <c r="DA603" s="61"/>
      <c r="DB603" s="61"/>
      <c r="DC603" s="61"/>
      <c r="DD603" s="61"/>
      <c r="DE603" s="61"/>
      <c r="DF603" s="61"/>
      <c r="DG603" s="61"/>
      <c r="DH603" s="61"/>
      <c r="DI603" s="61"/>
      <c r="DJ603" s="61"/>
      <c r="DK603" s="61"/>
    </row>
    <row r="604" spans="1:115" ht="21" customHeight="1" x14ac:dyDescent="0.2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108"/>
      <c r="N604" s="108"/>
      <c r="O604" s="108"/>
      <c r="P604" s="108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  <c r="CD604" s="61"/>
      <c r="CE604" s="61"/>
      <c r="CF604" s="61"/>
      <c r="CG604" s="61"/>
      <c r="CH604" s="61"/>
      <c r="CI604" s="61"/>
      <c r="CJ604" s="61"/>
      <c r="CK604" s="61"/>
      <c r="CL604" s="61"/>
      <c r="CM604" s="61"/>
      <c r="CN604" s="61"/>
      <c r="CO604" s="61"/>
      <c r="CP604" s="61"/>
      <c r="CQ604" s="61"/>
      <c r="CR604" s="61"/>
      <c r="CS604" s="61"/>
      <c r="CT604" s="61"/>
      <c r="CU604" s="61"/>
      <c r="CV604" s="61"/>
      <c r="CW604" s="61"/>
      <c r="CX604" s="61"/>
      <c r="CY604" s="61"/>
      <c r="CZ604" s="61"/>
      <c r="DA604" s="61"/>
      <c r="DB604" s="61"/>
      <c r="DC604" s="61"/>
      <c r="DD604" s="61"/>
      <c r="DE604" s="61"/>
      <c r="DF604" s="61"/>
      <c r="DG604" s="61"/>
      <c r="DH604" s="61"/>
      <c r="DI604" s="61"/>
      <c r="DJ604" s="61"/>
      <c r="DK604" s="61"/>
    </row>
    <row r="605" spans="1:115" ht="21" customHeight="1" x14ac:dyDescent="0.2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108"/>
      <c r="N605" s="108"/>
      <c r="O605" s="108"/>
      <c r="P605" s="108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  <c r="CD605" s="61"/>
      <c r="CE605" s="61"/>
      <c r="CF605" s="61"/>
      <c r="CG605" s="61"/>
      <c r="CH605" s="61"/>
      <c r="CI605" s="61"/>
      <c r="CJ605" s="61"/>
      <c r="CK605" s="61"/>
      <c r="CL605" s="61"/>
      <c r="CM605" s="61"/>
      <c r="CN605" s="61"/>
      <c r="CO605" s="61"/>
      <c r="CP605" s="61"/>
      <c r="CQ605" s="61"/>
      <c r="CR605" s="61"/>
      <c r="CS605" s="61"/>
      <c r="CT605" s="61"/>
      <c r="CU605" s="61"/>
      <c r="CV605" s="61"/>
      <c r="CW605" s="61"/>
      <c r="CX605" s="61"/>
      <c r="CY605" s="61"/>
      <c r="CZ605" s="61"/>
      <c r="DA605" s="61"/>
      <c r="DB605" s="61"/>
      <c r="DC605" s="61"/>
      <c r="DD605" s="61"/>
      <c r="DE605" s="61"/>
      <c r="DF605" s="61"/>
      <c r="DG605" s="61"/>
      <c r="DH605" s="61"/>
      <c r="DI605" s="61"/>
      <c r="DJ605" s="61"/>
      <c r="DK605" s="61"/>
    </row>
    <row r="606" spans="1:115" ht="21" customHeight="1" x14ac:dyDescent="0.2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108"/>
      <c r="N606" s="108"/>
      <c r="O606" s="108"/>
      <c r="P606" s="108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  <c r="CD606" s="61"/>
      <c r="CE606" s="61"/>
      <c r="CF606" s="61"/>
      <c r="CG606" s="61"/>
      <c r="CH606" s="61"/>
      <c r="CI606" s="61"/>
      <c r="CJ606" s="61"/>
      <c r="CK606" s="61"/>
      <c r="CL606" s="61"/>
      <c r="CM606" s="61"/>
      <c r="CN606" s="61"/>
      <c r="CO606" s="61"/>
      <c r="CP606" s="61"/>
      <c r="CQ606" s="61"/>
      <c r="CR606" s="61"/>
      <c r="CS606" s="61"/>
      <c r="CT606" s="61"/>
      <c r="CU606" s="61"/>
      <c r="CV606" s="61"/>
      <c r="CW606" s="61"/>
      <c r="CX606" s="61"/>
      <c r="CY606" s="61"/>
      <c r="CZ606" s="61"/>
      <c r="DA606" s="61"/>
      <c r="DB606" s="61"/>
      <c r="DC606" s="61"/>
      <c r="DD606" s="61"/>
      <c r="DE606" s="61"/>
      <c r="DF606" s="61"/>
      <c r="DG606" s="61"/>
      <c r="DH606" s="61"/>
      <c r="DI606" s="61"/>
      <c r="DJ606" s="61"/>
      <c r="DK606" s="61"/>
    </row>
    <row r="607" spans="1:115" ht="21" customHeight="1" x14ac:dyDescent="0.2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108"/>
      <c r="N607" s="108"/>
      <c r="O607" s="108"/>
      <c r="P607" s="108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  <c r="CD607" s="61"/>
      <c r="CE607" s="61"/>
      <c r="CF607" s="61"/>
      <c r="CG607" s="61"/>
      <c r="CH607" s="61"/>
      <c r="CI607" s="61"/>
      <c r="CJ607" s="61"/>
      <c r="CK607" s="61"/>
      <c r="CL607" s="61"/>
      <c r="CM607" s="61"/>
      <c r="CN607" s="61"/>
      <c r="CO607" s="61"/>
      <c r="CP607" s="61"/>
      <c r="CQ607" s="61"/>
      <c r="CR607" s="61"/>
      <c r="CS607" s="61"/>
      <c r="CT607" s="61"/>
      <c r="CU607" s="61"/>
      <c r="CV607" s="61"/>
      <c r="CW607" s="61"/>
      <c r="CX607" s="61"/>
      <c r="CY607" s="61"/>
      <c r="CZ607" s="61"/>
      <c r="DA607" s="61"/>
      <c r="DB607" s="61"/>
      <c r="DC607" s="61"/>
      <c r="DD607" s="61"/>
      <c r="DE607" s="61"/>
      <c r="DF607" s="61"/>
      <c r="DG607" s="61"/>
      <c r="DH607" s="61"/>
      <c r="DI607" s="61"/>
      <c r="DJ607" s="61"/>
      <c r="DK607" s="61"/>
    </row>
    <row r="608" spans="1:115" ht="21" customHeight="1" x14ac:dyDescent="0.2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108"/>
      <c r="N608" s="108"/>
      <c r="O608" s="108"/>
      <c r="P608" s="108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61"/>
      <c r="CD608" s="61"/>
      <c r="CE608" s="61"/>
      <c r="CF608" s="61"/>
      <c r="CG608" s="61"/>
      <c r="CH608" s="61"/>
      <c r="CI608" s="61"/>
      <c r="CJ608" s="61"/>
      <c r="CK608" s="61"/>
      <c r="CL608" s="61"/>
      <c r="CM608" s="61"/>
      <c r="CN608" s="61"/>
      <c r="CO608" s="61"/>
      <c r="CP608" s="61"/>
      <c r="CQ608" s="61"/>
      <c r="CR608" s="61"/>
      <c r="CS608" s="61"/>
      <c r="CT608" s="61"/>
      <c r="CU608" s="61"/>
      <c r="CV608" s="61"/>
      <c r="CW608" s="61"/>
      <c r="CX608" s="61"/>
      <c r="CY608" s="61"/>
      <c r="CZ608" s="61"/>
      <c r="DA608" s="61"/>
      <c r="DB608" s="61"/>
      <c r="DC608" s="61"/>
      <c r="DD608" s="61"/>
      <c r="DE608" s="61"/>
      <c r="DF608" s="61"/>
      <c r="DG608" s="61"/>
      <c r="DH608" s="61"/>
      <c r="DI608" s="61"/>
      <c r="DJ608" s="61"/>
      <c r="DK608" s="61"/>
    </row>
    <row r="609" spans="1:115" ht="21" customHeight="1" x14ac:dyDescent="0.2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108"/>
      <c r="N609" s="108"/>
      <c r="O609" s="108"/>
      <c r="P609" s="108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  <c r="CD609" s="61"/>
      <c r="CE609" s="61"/>
      <c r="CF609" s="61"/>
      <c r="CG609" s="61"/>
      <c r="CH609" s="61"/>
      <c r="CI609" s="61"/>
      <c r="CJ609" s="61"/>
      <c r="CK609" s="61"/>
      <c r="CL609" s="61"/>
      <c r="CM609" s="61"/>
      <c r="CN609" s="61"/>
      <c r="CO609" s="61"/>
      <c r="CP609" s="61"/>
      <c r="CQ609" s="61"/>
      <c r="CR609" s="61"/>
      <c r="CS609" s="61"/>
      <c r="CT609" s="61"/>
      <c r="CU609" s="61"/>
      <c r="CV609" s="61"/>
      <c r="CW609" s="61"/>
      <c r="CX609" s="61"/>
      <c r="CY609" s="61"/>
      <c r="CZ609" s="61"/>
      <c r="DA609" s="61"/>
      <c r="DB609" s="61"/>
      <c r="DC609" s="61"/>
      <c r="DD609" s="61"/>
      <c r="DE609" s="61"/>
      <c r="DF609" s="61"/>
      <c r="DG609" s="61"/>
      <c r="DH609" s="61"/>
      <c r="DI609" s="61"/>
      <c r="DJ609" s="61"/>
      <c r="DK609" s="61"/>
    </row>
    <row r="610" spans="1:115" ht="21" customHeight="1" x14ac:dyDescent="0.2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108"/>
      <c r="N610" s="108"/>
      <c r="O610" s="108"/>
      <c r="P610" s="108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  <c r="CD610" s="61"/>
      <c r="CE610" s="61"/>
      <c r="CF610" s="61"/>
      <c r="CG610" s="61"/>
      <c r="CH610" s="61"/>
      <c r="CI610" s="61"/>
      <c r="CJ610" s="61"/>
      <c r="CK610" s="61"/>
      <c r="CL610" s="61"/>
      <c r="CM610" s="61"/>
      <c r="CN610" s="61"/>
      <c r="CO610" s="61"/>
      <c r="CP610" s="61"/>
      <c r="CQ610" s="61"/>
      <c r="CR610" s="61"/>
      <c r="CS610" s="61"/>
      <c r="CT610" s="61"/>
      <c r="CU610" s="61"/>
      <c r="CV610" s="61"/>
      <c r="CW610" s="61"/>
      <c r="CX610" s="61"/>
      <c r="CY610" s="61"/>
      <c r="CZ610" s="61"/>
      <c r="DA610" s="61"/>
      <c r="DB610" s="61"/>
      <c r="DC610" s="61"/>
      <c r="DD610" s="61"/>
      <c r="DE610" s="61"/>
      <c r="DF610" s="61"/>
      <c r="DG610" s="61"/>
      <c r="DH610" s="61"/>
      <c r="DI610" s="61"/>
      <c r="DJ610" s="61"/>
      <c r="DK610" s="61"/>
    </row>
    <row r="611" spans="1:115" ht="21" customHeight="1" x14ac:dyDescent="0.2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108"/>
      <c r="N611" s="108"/>
      <c r="O611" s="108"/>
      <c r="P611" s="108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  <c r="CD611" s="61"/>
      <c r="CE611" s="61"/>
      <c r="CF611" s="61"/>
      <c r="CG611" s="61"/>
      <c r="CH611" s="61"/>
      <c r="CI611" s="61"/>
      <c r="CJ611" s="61"/>
      <c r="CK611" s="61"/>
      <c r="CL611" s="61"/>
      <c r="CM611" s="61"/>
      <c r="CN611" s="61"/>
      <c r="CO611" s="61"/>
      <c r="CP611" s="61"/>
      <c r="CQ611" s="61"/>
      <c r="CR611" s="61"/>
      <c r="CS611" s="61"/>
      <c r="CT611" s="61"/>
      <c r="CU611" s="61"/>
      <c r="CV611" s="61"/>
      <c r="CW611" s="61"/>
      <c r="CX611" s="61"/>
      <c r="CY611" s="61"/>
      <c r="CZ611" s="61"/>
      <c r="DA611" s="61"/>
      <c r="DB611" s="61"/>
      <c r="DC611" s="61"/>
      <c r="DD611" s="61"/>
      <c r="DE611" s="61"/>
      <c r="DF611" s="61"/>
      <c r="DG611" s="61"/>
      <c r="DH611" s="61"/>
      <c r="DI611" s="61"/>
      <c r="DJ611" s="61"/>
      <c r="DK611" s="61"/>
    </row>
    <row r="612" spans="1:115" ht="21" customHeight="1" x14ac:dyDescent="0.2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108"/>
      <c r="N612" s="108"/>
      <c r="O612" s="108"/>
      <c r="P612" s="108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  <c r="CN612" s="61"/>
      <c r="CO612" s="61"/>
      <c r="CP612" s="61"/>
      <c r="CQ612" s="61"/>
      <c r="CR612" s="61"/>
      <c r="CS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61"/>
      <c r="DH612" s="61"/>
      <c r="DI612" s="61"/>
      <c r="DJ612" s="61"/>
      <c r="DK612" s="61"/>
    </row>
    <row r="613" spans="1:115" ht="21" customHeight="1" x14ac:dyDescent="0.2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108"/>
      <c r="N613" s="108"/>
      <c r="O613" s="108"/>
      <c r="P613" s="108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  <c r="CN613" s="61"/>
      <c r="CO613" s="61"/>
      <c r="CP613" s="61"/>
      <c r="CQ613" s="61"/>
      <c r="CR613" s="61"/>
      <c r="CS613" s="61"/>
      <c r="CT613" s="61"/>
      <c r="CU613" s="61"/>
      <c r="CV613" s="61"/>
      <c r="CW613" s="61"/>
      <c r="CX613" s="61"/>
      <c r="CY613" s="61"/>
      <c r="CZ613" s="61"/>
      <c r="DA613" s="61"/>
      <c r="DB613" s="61"/>
      <c r="DC613" s="61"/>
      <c r="DD613" s="61"/>
      <c r="DE613" s="61"/>
      <c r="DF613" s="61"/>
      <c r="DG613" s="61"/>
      <c r="DH613" s="61"/>
      <c r="DI613" s="61"/>
      <c r="DJ613" s="61"/>
      <c r="DK613" s="61"/>
    </row>
    <row r="614" spans="1:115" ht="21" customHeight="1" x14ac:dyDescent="0.2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108"/>
      <c r="N614" s="108"/>
      <c r="O614" s="108"/>
      <c r="P614" s="108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  <c r="CD614" s="61"/>
      <c r="CE614" s="61"/>
      <c r="CF614" s="61"/>
      <c r="CG614" s="61"/>
      <c r="CH614" s="61"/>
      <c r="CI614" s="61"/>
      <c r="CJ614" s="61"/>
      <c r="CK614" s="61"/>
      <c r="CL614" s="61"/>
      <c r="CM614" s="61"/>
      <c r="CN614" s="61"/>
      <c r="CO614" s="61"/>
      <c r="CP614" s="61"/>
      <c r="CQ614" s="61"/>
      <c r="CR614" s="61"/>
      <c r="CS614" s="61"/>
      <c r="CT614" s="61"/>
      <c r="CU614" s="61"/>
      <c r="CV614" s="61"/>
      <c r="CW614" s="61"/>
      <c r="CX614" s="61"/>
      <c r="CY614" s="61"/>
      <c r="CZ614" s="61"/>
      <c r="DA614" s="61"/>
      <c r="DB614" s="61"/>
      <c r="DC614" s="61"/>
      <c r="DD614" s="61"/>
      <c r="DE614" s="61"/>
      <c r="DF614" s="61"/>
      <c r="DG614" s="61"/>
      <c r="DH614" s="61"/>
      <c r="DI614" s="61"/>
      <c r="DJ614" s="61"/>
      <c r="DK614" s="61"/>
    </row>
    <row r="615" spans="1:115" ht="21" customHeight="1" x14ac:dyDescent="0.2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108"/>
      <c r="N615" s="108"/>
      <c r="O615" s="108"/>
      <c r="P615" s="108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  <c r="CD615" s="61"/>
      <c r="CE615" s="61"/>
      <c r="CF615" s="61"/>
      <c r="CG615" s="61"/>
      <c r="CH615" s="61"/>
      <c r="CI615" s="61"/>
      <c r="CJ615" s="61"/>
      <c r="CK615" s="61"/>
      <c r="CL615" s="61"/>
      <c r="CM615" s="61"/>
      <c r="CN615" s="61"/>
      <c r="CO615" s="61"/>
      <c r="CP615" s="61"/>
      <c r="CQ615" s="61"/>
      <c r="CR615" s="61"/>
      <c r="CS615" s="61"/>
      <c r="CT615" s="61"/>
      <c r="CU615" s="61"/>
      <c r="CV615" s="61"/>
      <c r="CW615" s="61"/>
      <c r="CX615" s="61"/>
      <c r="CY615" s="61"/>
      <c r="CZ615" s="61"/>
      <c r="DA615" s="61"/>
      <c r="DB615" s="61"/>
      <c r="DC615" s="61"/>
      <c r="DD615" s="61"/>
      <c r="DE615" s="61"/>
      <c r="DF615" s="61"/>
      <c r="DG615" s="61"/>
      <c r="DH615" s="61"/>
      <c r="DI615" s="61"/>
      <c r="DJ615" s="61"/>
      <c r="DK615" s="61"/>
    </row>
    <row r="616" spans="1:115" ht="21" customHeight="1" x14ac:dyDescent="0.2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108"/>
      <c r="N616" s="108"/>
      <c r="O616" s="108"/>
      <c r="P616" s="108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  <c r="CD616" s="61"/>
      <c r="CE616" s="61"/>
      <c r="CF616" s="61"/>
      <c r="CG616" s="61"/>
      <c r="CH616" s="61"/>
      <c r="CI616" s="61"/>
      <c r="CJ616" s="61"/>
      <c r="CK616" s="61"/>
      <c r="CL616" s="61"/>
      <c r="CM616" s="61"/>
      <c r="CN616" s="61"/>
      <c r="CO616" s="61"/>
      <c r="CP616" s="61"/>
      <c r="CQ616" s="61"/>
      <c r="CR616" s="61"/>
      <c r="CS616" s="61"/>
      <c r="CT616" s="61"/>
      <c r="CU616" s="61"/>
      <c r="CV616" s="61"/>
      <c r="CW616" s="61"/>
      <c r="CX616" s="61"/>
      <c r="CY616" s="61"/>
      <c r="CZ616" s="61"/>
      <c r="DA616" s="61"/>
      <c r="DB616" s="61"/>
      <c r="DC616" s="61"/>
      <c r="DD616" s="61"/>
      <c r="DE616" s="61"/>
      <c r="DF616" s="61"/>
      <c r="DG616" s="61"/>
      <c r="DH616" s="61"/>
      <c r="DI616" s="61"/>
      <c r="DJ616" s="61"/>
      <c r="DK616" s="61"/>
    </row>
    <row r="617" spans="1:115" ht="21" customHeight="1" x14ac:dyDescent="0.2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108"/>
      <c r="N617" s="108"/>
      <c r="O617" s="108"/>
      <c r="P617" s="108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  <c r="CD617" s="61"/>
      <c r="CE617" s="61"/>
      <c r="CF617" s="61"/>
      <c r="CG617" s="61"/>
      <c r="CH617" s="61"/>
      <c r="CI617" s="61"/>
      <c r="CJ617" s="61"/>
      <c r="CK617" s="61"/>
      <c r="CL617" s="61"/>
      <c r="CM617" s="61"/>
      <c r="CN617" s="61"/>
      <c r="CO617" s="61"/>
      <c r="CP617" s="61"/>
      <c r="CQ617" s="61"/>
      <c r="CR617" s="61"/>
      <c r="CS617" s="61"/>
      <c r="CT617" s="61"/>
      <c r="CU617" s="61"/>
      <c r="CV617" s="61"/>
      <c r="CW617" s="61"/>
      <c r="CX617" s="61"/>
      <c r="CY617" s="61"/>
      <c r="CZ617" s="61"/>
      <c r="DA617" s="61"/>
      <c r="DB617" s="61"/>
      <c r="DC617" s="61"/>
      <c r="DD617" s="61"/>
      <c r="DE617" s="61"/>
      <c r="DF617" s="61"/>
      <c r="DG617" s="61"/>
      <c r="DH617" s="61"/>
      <c r="DI617" s="61"/>
      <c r="DJ617" s="61"/>
      <c r="DK617" s="61"/>
    </row>
    <row r="618" spans="1:115" ht="21" customHeight="1" x14ac:dyDescent="0.2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108"/>
      <c r="N618" s="108"/>
      <c r="O618" s="108"/>
      <c r="P618" s="108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  <c r="CD618" s="61"/>
      <c r="CE618" s="61"/>
      <c r="CF618" s="61"/>
      <c r="CG618" s="61"/>
      <c r="CH618" s="61"/>
      <c r="CI618" s="61"/>
      <c r="CJ618" s="61"/>
      <c r="CK618" s="61"/>
      <c r="CL618" s="61"/>
      <c r="CM618" s="61"/>
      <c r="CN618" s="61"/>
      <c r="CO618" s="61"/>
      <c r="CP618" s="61"/>
      <c r="CQ618" s="61"/>
      <c r="CR618" s="61"/>
      <c r="CS618" s="61"/>
      <c r="CT618" s="61"/>
      <c r="CU618" s="61"/>
      <c r="CV618" s="61"/>
      <c r="CW618" s="61"/>
      <c r="CX618" s="61"/>
      <c r="CY618" s="61"/>
      <c r="CZ618" s="61"/>
      <c r="DA618" s="61"/>
      <c r="DB618" s="61"/>
      <c r="DC618" s="61"/>
      <c r="DD618" s="61"/>
      <c r="DE618" s="61"/>
      <c r="DF618" s="61"/>
      <c r="DG618" s="61"/>
      <c r="DH618" s="61"/>
      <c r="DI618" s="61"/>
      <c r="DJ618" s="61"/>
      <c r="DK618" s="61"/>
    </row>
    <row r="619" spans="1:115" ht="21" customHeight="1" x14ac:dyDescent="0.2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108"/>
      <c r="N619" s="108"/>
      <c r="O619" s="108"/>
      <c r="P619" s="108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  <c r="CD619" s="61"/>
      <c r="CE619" s="61"/>
      <c r="CF619" s="61"/>
      <c r="CG619" s="61"/>
      <c r="CH619" s="61"/>
      <c r="CI619" s="61"/>
      <c r="CJ619" s="61"/>
      <c r="CK619" s="61"/>
      <c r="CL619" s="61"/>
      <c r="CM619" s="61"/>
      <c r="CN619" s="61"/>
      <c r="CO619" s="61"/>
      <c r="CP619" s="61"/>
      <c r="CQ619" s="61"/>
      <c r="CR619" s="61"/>
      <c r="CS619" s="61"/>
      <c r="CT619" s="61"/>
      <c r="CU619" s="61"/>
      <c r="CV619" s="61"/>
      <c r="CW619" s="61"/>
      <c r="CX619" s="61"/>
      <c r="CY619" s="61"/>
      <c r="CZ619" s="61"/>
      <c r="DA619" s="61"/>
      <c r="DB619" s="61"/>
      <c r="DC619" s="61"/>
      <c r="DD619" s="61"/>
      <c r="DE619" s="61"/>
      <c r="DF619" s="61"/>
      <c r="DG619" s="61"/>
      <c r="DH619" s="61"/>
      <c r="DI619" s="61"/>
      <c r="DJ619" s="61"/>
      <c r="DK619" s="61"/>
    </row>
    <row r="620" spans="1:115" ht="21" customHeight="1" x14ac:dyDescent="0.2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108"/>
      <c r="N620" s="108"/>
      <c r="O620" s="108"/>
      <c r="P620" s="108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  <c r="CD620" s="61"/>
      <c r="CE620" s="61"/>
      <c r="CF620" s="61"/>
      <c r="CG620" s="61"/>
      <c r="CH620" s="61"/>
      <c r="CI620" s="61"/>
      <c r="CJ620" s="61"/>
      <c r="CK620" s="61"/>
      <c r="CL620" s="61"/>
      <c r="CM620" s="61"/>
      <c r="CN620" s="61"/>
      <c r="CO620" s="61"/>
      <c r="CP620" s="61"/>
      <c r="CQ620" s="61"/>
      <c r="CR620" s="61"/>
      <c r="CS620" s="61"/>
      <c r="CT620" s="61"/>
      <c r="CU620" s="61"/>
      <c r="CV620" s="61"/>
      <c r="CW620" s="61"/>
      <c r="CX620" s="61"/>
      <c r="CY620" s="61"/>
      <c r="CZ620" s="61"/>
      <c r="DA620" s="61"/>
      <c r="DB620" s="61"/>
      <c r="DC620" s="61"/>
      <c r="DD620" s="61"/>
      <c r="DE620" s="61"/>
      <c r="DF620" s="61"/>
      <c r="DG620" s="61"/>
      <c r="DH620" s="61"/>
      <c r="DI620" s="61"/>
      <c r="DJ620" s="61"/>
      <c r="DK620" s="61"/>
    </row>
    <row r="621" spans="1:115" ht="21" customHeight="1" x14ac:dyDescent="0.2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108"/>
      <c r="N621" s="108"/>
      <c r="O621" s="108"/>
      <c r="P621" s="108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  <c r="CD621" s="61"/>
      <c r="CE621" s="61"/>
      <c r="CF621" s="61"/>
      <c r="CG621" s="61"/>
      <c r="CH621" s="61"/>
      <c r="CI621" s="61"/>
      <c r="CJ621" s="61"/>
      <c r="CK621" s="61"/>
      <c r="CL621" s="61"/>
      <c r="CM621" s="61"/>
      <c r="CN621" s="61"/>
      <c r="CO621" s="61"/>
      <c r="CP621" s="61"/>
      <c r="CQ621" s="61"/>
      <c r="CR621" s="61"/>
      <c r="CS621" s="61"/>
      <c r="CT621" s="61"/>
      <c r="CU621" s="61"/>
      <c r="CV621" s="61"/>
      <c r="CW621" s="61"/>
      <c r="CX621" s="61"/>
      <c r="CY621" s="61"/>
      <c r="CZ621" s="61"/>
      <c r="DA621" s="61"/>
      <c r="DB621" s="61"/>
      <c r="DC621" s="61"/>
      <c r="DD621" s="61"/>
      <c r="DE621" s="61"/>
      <c r="DF621" s="61"/>
      <c r="DG621" s="61"/>
      <c r="DH621" s="61"/>
      <c r="DI621" s="61"/>
      <c r="DJ621" s="61"/>
      <c r="DK621" s="61"/>
    </row>
    <row r="622" spans="1:115" ht="21" customHeight="1" x14ac:dyDescent="0.2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108"/>
      <c r="N622" s="108"/>
      <c r="O622" s="108"/>
      <c r="P622" s="108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  <c r="CD622" s="61"/>
      <c r="CE622" s="61"/>
      <c r="CF622" s="61"/>
      <c r="CG622" s="61"/>
      <c r="CH622" s="61"/>
      <c r="CI622" s="61"/>
      <c r="CJ622" s="61"/>
      <c r="CK622" s="61"/>
      <c r="CL622" s="61"/>
      <c r="CM622" s="61"/>
      <c r="CN622" s="61"/>
      <c r="CO622" s="61"/>
      <c r="CP622" s="61"/>
      <c r="CQ622" s="61"/>
      <c r="CR622" s="61"/>
      <c r="CS622" s="61"/>
      <c r="CT622" s="61"/>
      <c r="CU622" s="61"/>
      <c r="CV622" s="61"/>
      <c r="CW622" s="61"/>
      <c r="CX622" s="61"/>
      <c r="CY622" s="61"/>
      <c r="CZ622" s="61"/>
      <c r="DA622" s="61"/>
      <c r="DB622" s="61"/>
      <c r="DC622" s="61"/>
      <c r="DD622" s="61"/>
      <c r="DE622" s="61"/>
      <c r="DF622" s="61"/>
      <c r="DG622" s="61"/>
      <c r="DH622" s="61"/>
      <c r="DI622" s="61"/>
      <c r="DJ622" s="61"/>
      <c r="DK622" s="61"/>
    </row>
    <row r="623" spans="1:115" ht="21" customHeight="1" x14ac:dyDescent="0.2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108"/>
      <c r="N623" s="108"/>
      <c r="O623" s="108"/>
      <c r="P623" s="108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  <c r="CD623" s="61"/>
      <c r="CE623" s="61"/>
      <c r="CF623" s="61"/>
      <c r="CG623" s="61"/>
      <c r="CH623" s="61"/>
      <c r="CI623" s="61"/>
      <c r="CJ623" s="61"/>
      <c r="CK623" s="61"/>
      <c r="CL623" s="61"/>
      <c r="CM623" s="61"/>
      <c r="CN623" s="61"/>
      <c r="CO623" s="61"/>
      <c r="CP623" s="61"/>
      <c r="CQ623" s="61"/>
      <c r="CR623" s="61"/>
      <c r="CS623" s="61"/>
      <c r="CT623" s="61"/>
      <c r="CU623" s="61"/>
      <c r="CV623" s="61"/>
      <c r="CW623" s="61"/>
      <c r="CX623" s="61"/>
      <c r="CY623" s="61"/>
      <c r="CZ623" s="61"/>
      <c r="DA623" s="61"/>
      <c r="DB623" s="61"/>
      <c r="DC623" s="61"/>
      <c r="DD623" s="61"/>
      <c r="DE623" s="61"/>
      <c r="DF623" s="61"/>
      <c r="DG623" s="61"/>
      <c r="DH623" s="61"/>
      <c r="DI623" s="61"/>
      <c r="DJ623" s="61"/>
      <c r="DK623" s="61"/>
    </row>
    <row r="624" spans="1:115" ht="21" customHeight="1" x14ac:dyDescent="0.2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108"/>
      <c r="N624" s="108"/>
      <c r="O624" s="108"/>
      <c r="P624" s="108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  <c r="CN624" s="61"/>
      <c r="CO624" s="61"/>
      <c r="CP624" s="61"/>
      <c r="CQ624" s="61"/>
      <c r="CR624" s="61"/>
      <c r="CS624" s="61"/>
      <c r="CT624" s="61"/>
      <c r="CU624" s="61"/>
      <c r="CV624" s="61"/>
      <c r="CW624" s="61"/>
      <c r="CX624" s="61"/>
      <c r="CY624" s="61"/>
      <c r="CZ624" s="61"/>
      <c r="DA624" s="61"/>
      <c r="DB624" s="61"/>
      <c r="DC624" s="61"/>
      <c r="DD624" s="61"/>
      <c r="DE624" s="61"/>
      <c r="DF624" s="61"/>
      <c r="DG624" s="61"/>
      <c r="DH624" s="61"/>
      <c r="DI624" s="61"/>
      <c r="DJ624" s="61"/>
      <c r="DK624" s="61"/>
    </row>
    <row r="625" spans="1:115" ht="21" customHeight="1" x14ac:dyDescent="0.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108"/>
      <c r="N625" s="108"/>
      <c r="O625" s="108"/>
      <c r="P625" s="108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61"/>
      <c r="DI625" s="61"/>
      <c r="DJ625" s="61"/>
      <c r="DK625" s="61"/>
    </row>
    <row r="626" spans="1:115" ht="21" customHeight="1" x14ac:dyDescent="0.2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108"/>
      <c r="N626" s="108"/>
      <c r="O626" s="108"/>
      <c r="P626" s="108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  <c r="CD626" s="61"/>
      <c r="CE626" s="61"/>
      <c r="CF626" s="61"/>
      <c r="CG626" s="61"/>
      <c r="CH626" s="61"/>
      <c r="CI626" s="61"/>
      <c r="CJ626" s="61"/>
      <c r="CK626" s="61"/>
      <c r="CL626" s="61"/>
      <c r="CM626" s="61"/>
      <c r="CN626" s="61"/>
      <c r="CO626" s="61"/>
      <c r="CP626" s="61"/>
      <c r="CQ626" s="61"/>
      <c r="CR626" s="61"/>
      <c r="CS626" s="61"/>
      <c r="CT626" s="61"/>
      <c r="CU626" s="61"/>
      <c r="CV626" s="61"/>
      <c r="CW626" s="61"/>
      <c r="CX626" s="61"/>
      <c r="CY626" s="61"/>
      <c r="CZ626" s="61"/>
      <c r="DA626" s="61"/>
      <c r="DB626" s="61"/>
      <c r="DC626" s="61"/>
      <c r="DD626" s="61"/>
      <c r="DE626" s="61"/>
      <c r="DF626" s="61"/>
      <c r="DG626" s="61"/>
      <c r="DH626" s="61"/>
      <c r="DI626" s="61"/>
      <c r="DJ626" s="61"/>
      <c r="DK626" s="61"/>
    </row>
    <row r="627" spans="1:115" ht="21" customHeight="1" x14ac:dyDescent="0.2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108"/>
      <c r="N627" s="108"/>
      <c r="O627" s="108"/>
      <c r="P627" s="108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  <c r="CD627" s="61"/>
      <c r="CE627" s="61"/>
      <c r="CF627" s="61"/>
      <c r="CG627" s="61"/>
      <c r="CH627" s="61"/>
      <c r="CI627" s="61"/>
      <c r="CJ627" s="61"/>
      <c r="CK627" s="61"/>
      <c r="CL627" s="61"/>
      <c r="CM627" s="61"/>
      <c r="CN627" s="61"/>
      <c r="CO627" s="61"/>
      <c r="CP627" s="61"/>
      <c r="CQ627" s="61"/>
      <c r="CR627" s="61"/>
      <c r="CS627" s="61"/>
      <c r="CT627" s="61"/>
      <c r="CU627" s="61"/>
      <c r="CV627" s="61"/>
      <c r="CW627" s="61"/>
      <c r="CX627" s="61"/>
      <c r="CY627" s="61"/>
      <c r="CZ627" s="61"/>
      <c r="DA627" s="61"/>
      <c r="DB627" s="61"/>
      <c r="DC627" s="61"/>
      <c r="DD627" s="61"/>
      <c r="DE627" s="61"/>
      <c r="DF627" s="61"/>
      <c r="DG627" s="61"/>
      <c r="DH627" s="61"/>
      <c r="DI627" s="61"/>
      <c r="DJ627" s="61"/>
      <c r="DK627" s="61"/>
    </row>
    <row r="628" spans="1:115" ht="21" customHeight="1" x14ac:dyDescent="0.2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108"/>
      <c r="N628" s="108"/>
      <c r="O628" s="108"/>
      <c r="P628" s="108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  <c r="CD628" s="61"/>
      <c r="CE628" s="61"/>
      <c r="CF628" s="61"/>
      <c r="CG628" s="61"/>
      <c r="CH628" s="61"/>
      <c r="CI628" s="61"/>
      <c r="CJ628" s="61"/>
      <c r="CK628" s="61"/>
      <c r="CL628" s="61"/>
      <c r="CM628" s="61"/>
      <c r="CN628" s="61"/>
      <c r="CO628" s="61"/>
      <c r="CP628" s="61"/>
      <c r="CQ628" s="61"/>
      <c r="CR628" s="61"/>
      <c r="CS628" s="61"/>
      <c r="CT628" s="61"/>
      <c r="CU628" s="61"/>
      <c r="CV628" s="61"/>
      <c r="CW628" s="61"/>
      <c r="CX628" s="61"/>
      <c r="CY628" s="61"/>
      <c r="CZ628" s="61"/>
      <c r="DA628" s="61"/>
      <c r="DB628" s="61"/>
      <c r="DC628" s="61"/>
      <c r="DD628" s="61"/>
      <c r="DE628" s="61"/>
      <c r="DF628" s="61"/>
      <c r="DG628" s="61"/>
      <c r="DH628" s="61"/>
      <c r="DI628" s="61"/>
      <c r="DJ628" s="61"/>
      <c r="DK628" s="61"/>
    </row>
    <row r="629" spans="1:115" ht="21" customHeight="1" x14ac:dyDescent="0.2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108"/>
      <c r="N629" s="108"/>
      <c r="O629" s="108"/>
      <c r="P629" s="108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  <c r="CD629" s="61"/>
      <c r="CE629" s="61"/>
      <c r="CF629" s="61"/>
      <c r="CG629" s="61"/>
      <c r="CH629" s="61"/>
      <c r="CI629" s="61"/>
      <c r="CJ629" s="61"/>
      <c r="CK629" s="61"/>
      <c r="CL629" s="61"/>
      <c r="CM629" s="61"/>
      <c r="CN629" s="61"/>
      <c r="CO629" s="61"/>
      <c r="CP629" s="61"/>
      <c r="CQ629" s="61"/>
      <c r="CR629" s="61"/>
      <c r="CS629" s="61"/>
      <c r="CT629" s="61"/>
      <c r="CU629" s="61"/>
      <c r="CV629" s="61"/>
      <c r="CW629" s="61"/>
      <c r="CX629" s="61"/>
      <c r="CY629" s="61"/>
      <c r="CZ629" s="61"/>
      <c r="DA629" s="61"/>
      <c r="DB629" s="61"/>
      <c r="DC629" s="61"/>
      <c r="DD629" s="61"/>
      <c r="DE629" s="61"/>
      <c r="DF629" s="61"/>
      <c r="DG629" s="61"/>
      <c r="DH629" s="61"/>
      <c r="DI629" s="61"/>
      <c r="DJ629" s="61"/>
      <c r="DK629" s="61"/>
    </row>
    <row r="630" spans="1:115" ht="21" customHeight="1" x14ac:dyDescent="0.2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108"/>
      <c r="N630" s="108"/>
      <c r="O630" s="108"/>
      <c r="P630" s="108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61"/>
      <c r="CD630" s="61"/>
      <c r="CE630" s="61"/>
      <c r="CF630" s="61"/>
      <c r="CG630" s="61"/>
      <c r="CH630" s="61"/>
      <c r="CI630" s="61"/>
      <c r="CJ630" s="61"/>
      <c r="CK630" s="61"/>
      <c r="CL630" s="61"/>
      <c r="CM630" s="61"/>
      <c r="CN630" s="61"/>
      <c r="CO630" s="61"/>
      <c r="CP630" s="61"/>
      <c r="CQ630" s="61"/>
      <c r="CR630" s="61"/>
      <c r="CS630" s="61"/>
      <c r="CT630" s="61"/>
      <c r="CU630" s="61"/>
      <c r="CV630" s="61"/>
      <c r="CW630" s="61"/>
      <c r="CX630" s="61"/>
      <c r="CY630" s="61"/>
      <c r="CZ630" s="61"/>
      <c r="DA630" s="61"/>
      <c r="DB630" s="61"/>
      <c r="DC630" s="61"/>
      <c r="DD630" s="61"/>
      <c r="DE630" s="61"/>
      <c r="DF630" s="61"/>
      <c r="DG630" s="61"/>
      <c r="DH630" s="61"/>
      <c r="DI630" s="61"/>
      <c r="DJ630" s="61"/>
      <c r="DK630" s="61"/>
    </row>
    <row r="631" spans="1:115" ht="21" customHeight="1" x14ac:dyDescent="0.2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108"/>
      <c r="N631" s="108"/>
      <c r="O631" s="108"/>
      <c r="P631" s="108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  <c r="CD631" s="61"/>
      <c r="CE631" s="61"/>
      <c r="CF631" s="61"/>
      <c r="CG631" s="61"/>
      <c r="CH631" s="61"/>
      <c r="CI631" s="61"/>
      <c r="CJ631" s="61"/>
      <c r="CK631" s="61"/>
      <c r="CL631" s="61"/>
      <c r="CM631" s="61"/>
      <c r="CN631" s="61"/>
      <c r="CO631" s="61"/>
      <c r="CP631" s="61"/>
      <c r="CQ631" s="61"/>
      <c r="CR631" s="61"/>
      <c r="CS631" s="61"/>
      <c r="CT631" s="61"/>
      <c r="CU631" s="61"/>
      <c r="CV631" s="61"/>
      <c r="CW631" s="61"/>
      <c r="CX631" s="61"/>
      <c r="CY631" s="61"/>
      <c r="CZ631" s="61"/>
      <c r="DA631" s="61"/>
      <c r="DB631" s="61"/>
      <c r="DC631" s="61"/>
      <c r="DD631" s="61"/>
      <c r="DE631" s="61"/>
      <c r="DF631" s="61"/>
      <c r="DG631" s="61"/>
      <c r="DH631" s="61"/>
      <c r="DI631" s="61"/>
      <c r="DJ631" s="61"/>
      <c r="DK631" s="61"/>
    </row>
    <row r="632" spans="1:115" ht="21" customHeight="1" x14ac:dyDescent="0.2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108"/>
      <c r="N632" s="108"/>
      <c r="O632" s="108"/>
      <c r="P632" s="108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  <c r="CD632" s="61"/>
      <c r="CE632" s="61"/>
      <c r="CF632" s="61"/>
      <c r="CG632" s="61"/>
      <c r="CH632" s="61"/>
      <c r="CI632" s="61"/>
      <c r="CJ632" s="61"/>
      <c r="CK632" s="61"/>
      <c r="CL632" s="61"/>
      <c r="CM632" s="61"/>
      <c r="CN632" s="61"/>
      <c r="CO632" s="61"/>
      <c r="CP632" s="61"/>
      <c r="CQ632" s="61"/>
      <c r="CR632" s="61"/>
      <c r="CS632" s="61"/>
      <c r="CT632" s="61"/>
      <c r="CU632" s="61"/>
      <c r="CV632" s="61"/>
      <c r="CW632" s="61"/>
      <c r="CX632" s="61"/>
      <c r="CY632" s="61"/>
      <c r="CZ632" s="61"/>
      <c r="DA632" s="61"/>
      <c r="DB632" s="61"/>
      <c r="DC632" s="61"/>
      <c r="DD632" s="61"/>
      <c r="DE632" s="61"/>
      <c r="DF632" s="61"/>
      <c r="DG632" s="61"/>
      <c r="DH632" s="61"/>
      <c r="DI632" s="61"/>
      <c r="DJ632" s="61"/>
      <c r="DK632" s="61"/>
    </row>
    <row r="633" spans="1:115" ht="21" customHeight="1" x14ac:dyDescent="0.2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108"/>
      <c r="N633" s="108"/>
      <c r="O633" s="108"/>
      <c r="P633" s="108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  <c r="CD633" s="61"/>
      <c r="CE633" s="61"/>
      <c r="CF633" s="61"/>
      <c r="CG633" s="61"/>
      <c r="CH633" s="61"/>
      <c r="CI633" s="61"/>
      <c r="CJ633" s="61"/>
      <c r="CK633" s="61"/>
      <c r="CL633" s="61"/>
      <c r="CM633" s="61"/>
      <c r="CN633" s="61"/>
      <c r="CO633" s="61"/>
      <c r="CP633" s="61"/>
      <c r="CQ633" s="61"/>
      <c r="CR633" s="61"/>
      <c r="CS633" s="61"/>
      <c r="CT633" s="61"/>
      <c r="CU633" s="61"/>
      <c r="CV633" s="61"/>
      <c r="CW633" s="61"/>
      <c r="CX633" s="61"/>
      <c r="CY633" s="61"/>
      <c r="CZ633" s="61"/>
      <c r="DA633" s="61"/>
      <c r="DB633" s="61"/>
      <c r="DC633" s="61"/>
      <c r="DD633" s="61"/>
      <c r="DE633" s="61"/>
      <c r="DF633" s="61"/>
      <c r="DG633" s="61"/>
      <c r="DH633" s="61"/>
      <c r="DI633" s="61"/>
      <c r="DJ633" s="61"/>
      <c r="DK633" s="61"/>
    </row>
    <row r="634" spans="1:115" ht="21" customHeight="1" x14ac:dyDescent="0.2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108"/>
      <c r="N634" s="108"/>
      <c r="O634" s="108"/>
      <c r="P634" s="108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  <c r="CD634" s="61"/>
      <c r="CE634" s="61"/>
      <c r="CF634" s="61"/>
      <c r="CG634" s="61"/>
      <c r="CH634" s="61"/>
      <c r="CI634" s="61"/>
      <c r="CJ634" s="61"/>
      <c r="CK634" s="61"/>
      <c r="CL634" s="61"/>
      <c r="CM634" s="61"/>
      <c r="CN634" s="61"/>
      <c r="CO634" s="61"/>
      <c r="CP634" s="61"/>
      <c r="CQ634" s="61"/>
      <c r="CR634" s="61"/>
      <c r="CS634" s="61"/>
      <c r="CT634" s="61"/>
      <c r="CU634" s="61"/>
      <c r="CV634" s="61"/>
      <c r="CW634" s="61"/>
      <c r="CX634" s="61"/>
      <c r="CY634" s="61"/>
      <c r="CZ634" s="61"/>
      <c r="DA634" s="61"/>
      <c r="DB634" s="61"/>
      <c r="DC634" s="61"/>
      <c r="DD634" s="61"/>
      <c r="DE634" s="61"/>
      <c r="DF634" s="61"/>
      <c r="DG634" s="61"/>
      <c r="DH634" s="61"/>
      <c r="DI634" s="61"/>
      <c r="DJ634" s="61"/>
      <c r="DK634" s="61"/>
    </row>
    <row r="635" spans="1:115" ht="21" customHeight="1" x14ac:dyDescent="0.2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108"/>
      <c r="N635" s="108"/>
      <c r="O635" s="108"/>
      <c r="P635" s="108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  <c r="CD635" s="61"/>
      <c r="CE635" s="61"/>
      <c r="CF635" s="61"/>
      <c r="CG635" s="61"/>
      <c r="CH635" s="61"/>
      <c r="CI635" s="61"/>
      <c r="CJ635" s="61"/>
      <c r="CK635" s="61"/>
      <c r="CL635" s="61"/>
      <c r="CM635" s="61"/>
      <c r="CN635" s="61"/>
      <c r="CO635" s="61"/>
      <c r="CP635" s="61"/>
      <c r="CQ635" s="61"/>
      <c r="CR635" s="61"/>
      <c r="CS635" s="61"/>
      <c r="CT635" s="61"/>
      <c r="CU635" s="61"/>
      <c r="CV635" s="61"/>
      <c r="CW635" s="61"/>
      <c r="CX635" s="61"/>
      <c r="CY635" s="61"/>
      <c r="CZ635" s="61"/>
      <c r="DA635" s="61"/>
      <c r="DB635" s="61"/>
      <c r="DC635" s="61"/>
      <c r="DD635" s="61"/>
      <c r="DE635" s="61"/>
      <c r="DF635" s="61"/>
      <c r="DG635" s="61"/>
      <c r="DH635" s="61"/>
      <c r="DI635" s="61"/>
      <c r="DJ635" s="61"/>
      <c r="DK635" s="61"/>
    </row>
    <row r="636" spans="1:115" ht="21" customHeight="1" x14ac:dyDescent="0.2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108"/>
      <c r="N636" s="108"/>
      <c r="O636" s="108"/>
      <c r="P636" s="108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  <c r="CD636" s="61"/>
      <c r="CE636" s="61"/>
      <c r="CF636" s="61"/>
      <c r="CG636" s="61"/>
      <c r="CH636" s="61"/>
      <c r="CI636" s="61"/>
      <c r="CJ636" s="61"/>
      <c r="CK636" s="61"/>
      <c r="CL636" s="61"/>
      <c r="CM636" s="61"/>
      <c r="CN636" s="61"/>
      <c r="CO636" s="61"/>
      <c r="CP636" s="61"/>
      <c r="CQ636" s="61"/>
      <c r="CR636" s="61"/>
      <c r="CS636" s="61"/>
      <c r="CT636" s="61"/>
      <c r="CU636" s="61"/>
      <c r="CV636" s="61"/>
      <c r="CW636" s="61"/>
      <c r="CX636" s="61"/>
      <c r="CY636" s="61"/>
      <c r="CZ636" s="61"/>
      <c r="DA636" s="61"/>
      <c r="DB636" s="61"/>
      <c r="DC636" s="61"/>
      <c r="DD636" s="61"/>
      <c r="DE636" s="61"/>
      <c r="DF636" s="61"/>
      <c r="DG636" s="61"/>
      <c r="DH636" s="61"/>
      <c r="DI636" s="61"/>
      <c r="DJ636" s="61"/>
      <c r="DK636" s="61"/>
    </row>
    <row r="637" spans="1:115" ht="21" customHeight="1" x14ac:dyDescent="0.2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108"/>
      <c r="N637" s="108"/>
      <c r="O637" s="108"/>
      <c r="P637" s="108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  <c r="CN637" s="61"/>
      <c r="CO637" s="61"/>
      <c r="CP637" s="61"/>
      <c r="CQ637" s="61"/>
      <c r="CR637" s="61"/>
      <c r="CS637" s="61"/>
      <c r="CT637" s="61"/>
      <c r="CU637" s="61"/>
      <c r="CV637" s="61"/>
      <c r="CW637" s="61"/>
      <c r="CX637" s="61"/>
      <c r="CY637" s="61"/>
      <c r="CZ637" s="61"/>
      <c r="DA637" s="61"/>
      <c r="DB637" s="61"/>
      <c r="DC637" s="61"/>
      <c r="DD637" s="61"/>
      <c r="DE637" s="61"/>
      <c r="DF637" s="61"/>
      <c r="DG637" s="61"/>
      <c r="DH637" s="61"/>
      <c r="DI637" s="61"/>
      <c r="DJ637" s="61"/>
      <c r="DK637" s="61"/>
    </row>
    <row r="638" spans="1:115" ht="21" customHeight="1" x14ac:dyDescent="0.2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108"/>
      <c r="N638" s="108"/>
      <c r="O638" s="108"/>
      <c r="P638" s="108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  <c r="CP638" s="61"/>
      <c r="CQ638" s="61"/>
      <c r="CR638" s="61"/>
      <c r="CS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61"/>
      <c r="DH638" s="61"/>
      <c r="DI638" s="61"/>
      <c r="DJ638" s="61"/>
      <c r="DK638" s="61"/>
    </row>
    <row r="639" spans="1:115" ht="21" customHeight="1" x14ac:dyDescent="0.2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108"/>
      <c r="N639" s="108"/>
      <c r="O639" s="108"/>
      <c r="P639" s="108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  <c r="BZ639" s="61"/>
      <c r="CA639" s="61"/>
      <c r="CB639" s="61"/>
      <c r="CC639" s="61"/>
      <c r="CD639" s="61"/>
      <c r="CE639" s="61"/>
      <c r="CF639" s="61"/>
      <c r="CG639" s="61"/>
      <c r="CH639" s="61"/>
      <c r="CI639" s="61"/>
      <c r="CJ639" s="61"/>
      <c r="CK639" s="61"/>
      <c r="CL639" s="61"/>
      <c r="CM639" s="61"/>
      <c r="CN639" s="61"/>
      <c r="CO639" s="61"/>
      <c r="CP639" s="61"/>
      <c r="CQ639" s="61"/>
      <c r="CR639" s="61"/>
      <c r="CS639" s="61"/>
      <c r="CT639" s="61"/>
      <c r="CU639" s="61"/>
      <c r="CV639" s="61"/>
      <c r="CW639" s="61"/>
      <c r="CX639" s="61"/>
      <c r="CY639" s="61"/>
      <c r="CZ639" s="61"/>
      <c r="DA639" s="61"/>
      <c r="DB639" s="61"/>
      <c r="DC639" s="61"/>
      <c r="DD639" s="61"/>
      <c r="DE639" s="61"/>
      <c r="DF639" s="61"/>
      <c r="DG639" s="61"/>
      <c r="DH639" s="61"/>
      <c r="DI639" s="61"/>
      <c r="DJ639" s="61"/>
      <c r="DK639" s="61"/>
    </row>
    <row r="640" spans="1:115" ht="21" customHeight="1" x14ac:dyDescent="0.2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108"/>
      <c r="N640" s="108"/>
      <c r="O640" s="108"/>
      <c r="P640" s="108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  <c r="CD640" s="61"/>
      <c r="CE640" s="61"/>
      <c r="CF640" s="61"/>
      <c r="CG640" s="61"/>
      <c r="CH640" s="61"/>
      <c r="CI640" s="61"/>
      <c r="CJ640" s="61"/>
      <c r="CK640" s="61"/>
      <c r="CL640" s="61"/>
      <c r="CM640" s="61"/>
      <c r="CN640" s="61"/>
      <c r="CO640" s="61"/>
      <c r="CP640" s="61"/>
      <c r="CQ640" s="61"/>
      <c r="CR640" s="61"/>
      <c r="CS640" s="61"/>
      <c r="CT640" s="61"/>
      <c r="CU640" s="61"/>
      <c r="CV640" s="61"/>
      <c r="CW640" s="61"/>
      <c r="CX640" s="61"/>
      <c r="CY640" s="61"/>
      <c r="CZ640" s="61"/>
      <c r="DA640" s="61"/>
      <c r="DB640" s="61"/>
      <c r="DC640" s="61"/>
      <c r="DD640" s="61"/>
      <c r="DE640" s="61"/>
      <c r="DF640" s="61"/>
      <c r="DG640" s="61"/>
      <c r="DH640" s="61"/>
      <c r="DI640" s="61"/>
      <c r="DJ640" s="61"/>
      <c r="DK640" s="61"/>
    </row>
    <row r="641" spans="1:115" ht="21" customHeight="1" x14ac:dyDescent="0.2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108"/>
      <c r="N641" s="108"/>
      <c r="O641" s="108"/>
      <c r="P641" s="108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  <c r="CD641" s="61"/>
      <c r="CE641" s="61"/>
      <c r="CF641" s="61"/>
      <c r="CG641" s="61"/>
      <c r="CH641" s="61"/>
      <c r="CI641" s="61"/>
      <c r="CJ641" s="61"/>
      <c r="CK641" s="61"/>
      <c r="CL641" s="61"/>
      <c r="CM641" s="61"/>
      <c r="CN641" s="61"/>
      <c r="CO641" s="61"/>
      <c r="CP641" s="61"/>
      <c r="CQ641" s="61"/>
      <c r="CR641" s="61"/>
      <c r="CS641" s="61"/>
      <c r="CT641" s="61"/>
      <c r="CU641" s="61"/>
      <c r="CV641" s="61"/>
      <c r="CW641" s="61"/>
      <c r="CX641" s="61"/>
      <c r="CY641" s="61"/>
      <c r="CZ641" s="61"/>
      <c r="DA641" s="61"/>
      <c r="DB641" s="61"/>
      <c r="DC641" s="61"/>
      <c r="DD641" s="61"/>
      <c r="DE641" s="61"/>
      <c r="DF641" s="61"/>
      <c r="DG641" s="61"/>
      <c r="DH641" s="61"/>
      <c r="DI641" s="61"/>
      <c r="DJ641" s="61"/>
      <c r="DK641" s="61"/>
    </row>
    <row r="642" spans="1:115" ht="21" customHeight="1" x14ac:dyDescent="0.2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108"/>
      <c r="N642" s="108"/>
      <c r="O642" s="108"/>
      <c r="P642" s="108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  <c r="CD642" s="61"/>
      <c r="CE642" s="61"/>
      <c r="CF642" s="61"/>
      <c r="CG642" s="61"/>
      <c r="CH642" s="61"/>
      <c r="CI642" s="61"/>
      <c r="CJ642" s="61"/>
      <c r="CK642" s="61"/>
      <c r="CL642" s="61"/>
      <c r="CM642" s="61"/>
      <c r="CN642" s="61"/>
      <c r="CO642" s="61"/>
      <c r="CP642" s="61"/>
      <c r="CQ642" s="61"/>
      <c r="CR642" s="61"/>
      <c r="CS642" s="61"/>
      <c r="CT642" s="61"/>
      <c r="CU642" s="61"/>
      <c r="CV642" s="61"/>
      <c r="CW642" s="61"/>
      <c r="CX642" s="61"/>
      <c r="CY642" s="61"/>
      <c r="CZ642" s="61"/>
      <c r="DA642" s="61"/>
      <c r="DB642" s="61"/>
      <c r="DC642" s="61"/>
      <c r="DD642" s="61"/>
      <c r="DE642" s="61"/>
      <c r="DF642" s="61"/>
      <c r="DG642" s="61"/>
      <c r="DH642" s="61"/>
      <c r="DI642" s="61"/>
      <c r="DJ642" s="61"/>
      <c r="DK642" s="61"/>
    </row>
    <row r="643" spans="1:115" ht="21" customHeight="1" x14ac:dyDescent="0.2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108"/>
      <c r="N643" s="108"/>
      <c r="O643" s="108"/>
      <c r="P643" s="108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  <c r="CD643" s="61"/>
      <c r="CE643" s="61"/>
      <c r="CF643" s="61"/>
      <c r="CG643" s="61"/>
      <c r="CH643" s="61"/>
      <c r="CI643" s="61"/>
      <c r="CJ643" s="61"/>
      <c r="CK643" s="61"/>
      <c r="CL643" s="61"/>
      <c r="CM643" s="61"/>
      <c r="CN643" s="61"/>
      <c r="CO643" s="61"/>
      <c r="CP643" s="61"/>
      <c r="CQ643" s="61"/>
      <c r="CR643" s="61"/>
      <c r="CS643" s="61"/>
      <c r="CT643" s="61"/>
      <c r="CU643" s="61"/>
      <c r="CV643" s="61"/>
      <c r="CW643" s="61"/>
      <c r="CX643" s="61"/>
      <c r="CY643" s="61"/>
      <c r="CZ643" s="61"/>
      <c r="DA643" s="61"/>
      <c r="DB643" s="61"/>
      <c r="DC643" s="61"/>
      <c r="DD643" s="61"/>
      <c r="DE643" s="61"/>
      <c r="DF643" s="61"/>
      <c r="DG643" s="61"/>
      <c r="DH643" s="61"/>
      <c r="DI643" s="61"/>
      <c r="DJ643" s="61"/>
      <c r="DK643" s="61"/>
    </row>
    <row r="644" spans="1:115" ht="21" customHeight="1" x14ac:dyDescent="0.2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108"/>
      <c r="N644" s="108"/>
      <c r="O644" s="108"/>
      <c r="P644" s="108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  <c r="CD644" s="61"/>
      <c r="CE644" s="61"/>
      <c r="CF644" s="61"/>
      <c r="CG644" s="61"/>
      <c r="CH644" s="61"/>
      <c r="CI644" s="61"/>
      <c r="CJ644" s="61"/>
      <c r="CK644" s="61"/>
      <c r="CL644" s="61"/>
      <c r="CM644" s="61"/>
      <c r="CN644" s="61"/>
      <c r="CO644" s="61"/>
      <c r="CP644" s="61"/>
      <c r="CQ644" s="61"/>
      <c r="CR644" s="61"/>
      <c r="CS644" s="61"/>
      <c r="CT644" s="61"/>
      <c r="CU644" s="61"/>
      <c r="CV644" s="61"/>
      <c r="CW644" s="61"/>
      <c r="CX644" s="61"/>
      <c r="CY644" s="61"/>
      <c r="CZ644" s="61"/>
      <c r="DA644" s="61"/>
      <c r="DB644" s="61"/>
      <c r="DC644" s="61"/>
      <c r="DD644" s="61"/>
      <c r="DE644" s="61"/>
      <c r="DF644" s="61"/>
      <c r="DG644" s="61"/>
      <c r="DH644" s="61"/>
      <c r="DI644" s="61"/>
      <c r="DJ644" s="61"/>
      <c r="DK644" s="61"/>
    </row>
    <row r="645" spans="1:115" ht="21" customHeight="1" x14ac:dyDescent="0.2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108"/>
      <c r="N645" s="108"/>
      <c r="O645" s="108"/>
      <c r="P645" s="108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  <c r="CD645" s="61"/>
      <c r="CE645" s="61"/>
      <c r="CF645" s="61"/>
      <c r="CG645" s="61"/>
      <c r="CH645" s="61"/>
      <c r="CI645" s="61"/>
      <c r="CJ645" s="61"/>
      <c r="CK645" s="61"/>
      <c r="CL645" s="61"/>
      <c r="CM645" s="61"/>
      <c r="CN645" s="61"/>
      <c r="CO645" s="61"/>
      <c r="CP645" s="61"/>
      <c r="CQ645" s="61"/>
      <c r="CR645" s="61"/>
      <c r="CS645" s="61"/>
      <c r="CT645" s="61"/>
      <c r="CU645" s="61"/>
      <c r="CV645" s="61"/>
      <c r="CW645" s="61"/>
      <c r="CX645" s="61"/>
      <c r="CY645" s="61"/>
      <c r="CZ645" s="61"/>
      <c r="DA645" s="61"/>
      <c r="DB645" s="61"/>
      <c r="DC645" s="61"/>
      <c r="DD645" s="61"/>
      <c r="DE645" s="61"/>
      <c r="DF645" s="61"/>
      <c r="DG645" s="61"/>
      <c r="DH645" s="61"/>
      <c r="DI645" s="61"/>
      <c r="DJ645" s="61"/>
      <c r="DK645" s="61"/>
    </row>
    <row r="646" spans="1:115" ht="21" customHeight="1" x14ac:dyDescent="0.2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108"/>
      <c r="N646" s="108"/>
      <c r="O646" s="108"/>
      <c r="P646" s="108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  <c r="CD646" s="61"/>
      <c r="CE646" s="61"/>
      <c r="CF646" s="61"/>
      <c r="CG646" s="61"/>
      <c r="CH646" s="61"/>
      <c r="CI646" s="61"/>
      <c r="CJ646" s="61"/>
      <c r="CK646" s="61"/>
      <c r="CL646" s="61"/>
      <c r="CM646" s="61"/>
      <c r="CN646" s="61"/>
      <c r="CO646" s="61"/>
      <c r="CP646" s="61"/>
      <c r="CQ646" s="61"/>
      <c r="CR646" s="61"/>
      <c r="CS646" s="61"/>
      <c r="CT646" s="61"/>
      <c r="CU646" s="61"/>
      <c r="CV646" s="61"/>
      <c r="CW646" s="61"/>
      <c r="CX646" s="61"/>
      <c r="CY646" s="61"/>
      <c r="CZ646" s="61"/>
      <c r="DA646" s="61"/>
      <c r="DB646" s="61"/>
      <c r="DC646" s="61"/>
      <c r="DD646" s="61"/>
      <c r="DE646" s="61"/>
      <c r="DF646" s="61"/>
      <c r="DG646" s="61"/>
      <c r="DH646" s="61"/>
      <c r="DI646" s="61"/>
      <c r="DJ646" s="61"/>
      <c r="DK646" s="61"/>
    </row>
    <row r="647" spans="1:115" ht="21" customHeight="1" x14ac:dyDescent="0.2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108"/>
      <c r="N647" s="108"/>
      <c r="O647" s="108"/>
      <c r="P647" s="108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  <c r="CD647" s="61"/>
      <c r="CE647" s="61"/>
      <c r="CF647" s="61"/>
      <c r="CG647" s="61"/>
      <c r="CH647" s="61"/>
      <c r="CI647" s="61"/>
      <c r="CJ647" s="61"/>
      <c r="CK647" s="61"/>
      <c r="CL647" s="61"/>
      <c r="CM647" s="61"/>
      <c r="CN647" s="61"/>
      <c r="CO647" s="61"/>
      <c r="CP647" s="61"/>
      <c r="CQ647" s="61"/>
      <c r="CR647" s="61"/>
      <c r="CS647" s="61"/>
      <c r="CT647" s="61"/>
      <c r="CU647" s="61"/>
      <c r="CV647" s="61"/>
      <c r="CW647" s="61"/>
      <c r="CX647" s="61"/>
      <c r="CY647" s="61"/>
      <c r="CZ647" s="61"/>
      <c r="DA647" s="61"/>
      <c r="DB647" s="61"/>
      <c r="DC647" s="61"/>
      <c r="DD647" s="61"/>
      <c r="DE647" s="61"/>
      <c r="DF647" s="61"/>
      <c r="DG647" s="61"/>
      <c r="DH647" s="61"/>
      <c r="DI647" s="61"/>
      <c r="DJ647" s="61"/>
      <c r="DK647" s="61"/>
    </row>
    <row r="648" spans="1:115" ht="21" customHeight="1" x14ac:dyDescent="0.2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108"/>
      <c r="N648" s="108"/>
      <c r="O648" s="108"/>
      <c r="P648" s="108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  <c r="CD648" s="61"/>
      <c r="CE648" s="61"/>
      <c r="CF648" s="61"/>
      <c r="CG648" s="61"/>
      <c r="CH648" s="61"/>
      <c r="CI648" s="61"/>
      <c r="CJ648" s="61"/>
      <c r="CK648" s="61"/>
      <c r="CL648" s="61"/>
      <c r="CM648" s="61"/>
      <c r="CN648" s="61"/>
      <c r="CO648" s="61"/>
      <c r="CP648" s="61"/>
      <c r="CQ648" s="61"/>
      <c r="CR648" s="61"/>
      <c r="CS648" s="61"/>
      <c r="CT648" s="61"/>
      <c r="CU648" s="61"/>
      <c r="CV648" s="61"/>
      <c r="CW648" s="61"/>
      <c r="CX648" s="61"/>
      <c r="CY648" s="61"/>
      <c r="CZ648" s="61"/>
      <c r="DA648" s="61"/>
      <c r="DB648" s="61"/>
      <c r="DC648" s="61"/>
      <c r="DD648" s="61"/>
      <c r="DE648" s="61"/>
      <c r="DF648" s="61"/>
      <c r="DG648" s="61"/>
      <c r="DH648" s="61"/>
      <c r="DI648" s="61"/>
      <c r="DJ648" s="61"/>
      <c r="DK648" s="61"/>
    </row>
    <row r="649" spans="1:115" ht="21" customHeight="1" x14ac:dyDescent="0.2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108"/>
      <c r="N649" s="108"/>
      <c r="O649" s="108"/>
      <c r="P649" s="108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  <c r="CD649" s="61"/>
      <c r="CE649" s="61"/>
      <c r="CF649" s="61"/>
      <c r="CG649" s="61"/>
      <c r="CH649" s="61"/>
      <c r="CI649" s="61"/>
      <c r="CJ649" s="61"/>
      <c r="CK649" s="61"/>
      <c r="CL649" s="61"/>
      <c r="CM649" s="61"/>
      <c r="CN649" s="61"/>
      <c r="CO649" s="61"/>
      <c r="CP649" s="61"/>
      <c r="CQ649" s="61"/>
      <c r="CR649" s="61"/>
      <c r="CS649" s="61"/>
      <c r="CT649" s="61"/>
      <c r="CU649" s="61"/>
      <c r="CV649" s="61"/>
      <c r="CW649" s="61"/>
      <c r="CX649" s="61"/>
      <c r="CY649" s="61"/>
      <c r="CZ649" s="61"/>
      <c r="DA649" s="61"/>
      <c r="DB649" s="61"/>
      <c r="DC649" s="61"/>
      <c r="DD649" s="61"/>
      <c r="DE649" s="61"/>
      <c r="DF649" s="61"/>
      <c r="DG649" s="61"/>
      <c r="DH649" s="61"/>
      <c r="DI649" s="61"/>
      <c r="DJ649" s="61"/>
      <c r="DK649" s="61"/>
    </row>
    <row r="650" spans="1:115" ht="21" customHeight="1" x14ac:dyDescent="0.2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108"/>
      <c r="N650" s="108"/>
      <c r="O650" s="108"/>
      <c r="P650" s="108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  <c r="CD650" s="61"/>
      <c r="CE650" s="61"/>
      <c r="CF650" s="61"/>
      <c r="CG650" s="61"/>
      <c r="CH650" s="61"/>
      <c r="CI650" s="61"/>
      <c r="CJ650" s="61"/>
      <c r="CK650" s="61"/>
      <c r="CL650" s="61"/>
      <c r="CM650" s="61"/>
      <c r="CN650" s="61"/>
      <c r="CO650" s="61"/>
      <c r="CP650" s="61"/>
      <c r="CQ650" s="61"/>
      <c r="CR650" s="61"/>
      <c r="CS650" s="61"/>
      <c r="CT650" s="61"/>
      <c r="CU650" s="61"/>
      <c r="CV650" s="61"/>
      <c r="CW650" s="61"/>
      <c r="CX650" s="61"/>
      <c r="CY650" s="61"/>
      <c r="CZ650" s="61"/>
      <c r="DA650" s="61"/>
      <c r="DB650" s="61"/>
      <c r="DC650" s="61"/>
      <c r="DD650" s="61"/>
      <c r="DE650" s="61"/>
      <c r="DF650" s="61"/>
      <c r="DG650" s="61"/>
      <c r="DH650" s="61"/>
      <c r="DI650" s="61"/>
      <c r="DJ650" s="61"/>
      <c r="DK650" s="61"/>
    </row>
    <row r="651" spans="1:115" ht="21" customHeight="1" x14ac:dyDescent="0.2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108"/>
      <c r="N651" s="108"/>
      <c r="O651" s="108"/>
      <c r="P651" s="108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  <c r="CD651" s="61"/>
      <c r="CE651" s="61"/>
      <c r="CF651" s="61"/>
      <c r="CG651" s="61"/>
      <c r="CH651" s="61"/>
      <c r="CI651" s="61"/>
      <c r="CJ651" s="61"/>
      <c r="CK651" s="61"/>
      <c r="CL651" s="61"/>
      <c r="CM651" s="61"/>
      <c r="CN651" s="61"/>
      <c r="CO651" s="61"/>
      <c r="CP651" s="61"/>
      <c r="CQ651" s="61"/>
      <c r="CR651" s="61"/>
      <c r="CS651" s="61"/>
      <c r="CT651" s="61"/>
      <c r="CU651" s="61"/>
      <c r="CV651" s="61"/>
      <c r="CW651" s="61"/>
      <c r="CX651" s="61"/>
      <c r="CY651" s="61"/>
      <c r="CZ651" s="61"/>
      <c r="DA651" s="61"/>
      <c r="DB651" s="61"/>
      <c r="DC651" s="61"/>
      <c r="DD651" s="61"/>
      <c r="DE651" s="61"/>
      <c r="DF651" s="61"/>
      <c r="DG651" s="61"/>
      <c r="DH651" s="61"/>
      <c r="DI651" s="61"/>
      <c r="DJ651" s="61"/>
      <c r="DK651" s="61"/>
    </row>
    <row r="652" spans="1:115" ht="21" customHeight="1" x14ac:dyDescent="0.2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108"/>
      <c r="N652" s="108"/>
      <c r="O652" s="108"/>
      <c r="P652" s="108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  <c r="CD652" s="61"/>
      <c r="CE652" s="61"/>
      <c r="CF652" s="61"/>
      <c r="CG652" s="61"/>
      <c r="CH652" s="61"/>
      <c r="CI652" s="61"/>
      <c r="CJ652" s="61"/>
      <c r="CK652" s="61"/>
      <c r="CL652" s="61"/>
      <c r="CM652" s="61"/>
      <c r="CN652" s="61"/>
      <c r="CO652" s="61"/>
      <c r="CP652" s="61"/>
      <c r="CQ652" s="61"/>
      <c r="CR652" s="61"/>
      <c r="CS652" s="61"/>
      <c r="CT652" s="61"/>
      <c r="CU652" s="61"/>
      <c r="CV652" s="61"/>
      <c r="CW652" s="61"/>
      <c r="CX652" s="61"/>
      <c r="CY652" s="61"/>
      <c r="CZ652" s="61"/>
      <c r="DA652" s="61"/>
      <c r="DB652" s="61"/>
      <c r="DC652" s="61"/>
      <c r="DD652" s="61"/>
      <c r="DE652" s="61"/>
      <c r="DF652" s="61"/>
      <c r="DG652" s="61"/>
      <c r="DH652" s="61"/>
      <c r="DI652" s="61"/>
      <c r="DJ652" s="61"/>
      <c r="DK652" s="61"/>
    </row>
    <row r="653" spans="1:115" ht="21" customHeight="1" x14ac:dyDescent="0.2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108"/>
      <c r="N653" s="108"/>
      <c r="O653" s="108"/>
      <c r="P653" s="108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  <c r="CD653" s="61"/>
      <c r="CE653" s="61"/>
      <c r="CF653" s="61"/>
      <c r="CG653" s="61"/>
      <c r="CH653" s="61"/>
      <c r="CI653" s="61"/>
      <c r="CJ653" s="61"/>
      <c r="CK653" s="61"/>
      <c r="CL653" s="61"/>
      <c r="CM653" s="61"/>
      <c r="CN653" s="61"/>
      <c r="CO653" s="61"/>
      <c r="CP653" s="61"/>
      <c r="CQ653" s="61"/>
      <c r="CR653" s="61"/>
      <c r="CS653" s="61"/>
      <c r="CT653" s="61"/>
      <c r="CU653" s="61"/>
      <c r="CV653" s="61"/>
      <c r="CW653" s="61"/>
      <c r="CX653" s="61"/>
      <c r="CY653" s="61"/>
      <c r="CZ653" s="61"/>
      <c r="DA653" s="61"/>
      <c r="DB653" s="61"/>
      <c r="DC653" s="61"/>
      <c r="DD653" s="61"/>
      <c r="DE653" s="61"/>
      <c r="DF653" s="61"/>
      <c r="DG653" s="61"/>
      <c r="DH653" s="61"/>
      <c r="DI653" s="61"/>
      <c r="DJ653" s="61"/>
      <c r="DK653" s="61"/>
    </row>
    <row r="654" spans="1:115" ht="21" customHeight="1" x14ac:dyDescent="0.2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108"/>
      <c r="N654" s="108"/>
      <c r="O654" s="108"/>
      <c r="P654" s="108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  <c r="CD654" s="61"/>
      <c r="CE654" s="61"/>
      <c r="CF654" s="61"/>
      <c r="CG654" s="61"/>
      <c r="CH654" s="61"/>
      <c r="CI654" s="61"/>
      <c r="CJ654" s="61"/>
      <c r="CK654" s="61"/>
      <c r="CL654" s="61"/>
      <c r="CM654" s="61"/>
      <c r="CN654" s="61"/>
      <c r="CO654" s="61"/>
      <c r="CP654" s="61"/>
      <c r="CQ654" s="61"/>
      <c r="CR654" s="61"/>
      <c r="CS654" s="61"/>
      <c r="CT654" s="61"/>
      <c r="CU654" s="61"/>
      <c r="CV654" s="61"/>
      <c r="CW654" s="61"/>
      <c r="CX654" s="61"/>
      <c r="CY654" s="61"/>
      <c r="CZ654" s="61"/>
      <c r="DA654" s="61"/>
      <c r="DB654" s="61"/>
      <c r="DC654" s="61"/>
      <c r="DD654" s="61"/>
      <c r="DE654" s="61"/>
      <c r="DF654" s="61"/>
      <c r="DG654" s="61"/>
      <c r="DH654" s="61"/>
      <c r="DI654" s="61"/>
      <c r="DJ654" s="61"/>
      <c r="DK654" s="61"/>
    </row>
    <row r="655" spans="1:115" ht="21" customHeight="1" x14ac:dyDescent="0.2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108"/>
      <c r="N655" s="108"/>
      <c r="O655" s="108"/>
      <c r="P655" s="108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  <c r="CD655" s="61"/>
      <c r="CE655" s="61"/>
      <c r="CF655" s="61"/>
      <c r="CG655" s="61"/>
      <c r="CH655" s="61"/>
      <c r="CI655" s="61"/>
      <c r="CJ655" s="61"/>
      <c r="CK655" s="61"/>
      <c r="CL655" s="61"/>
      <c r="CM655" s="61"/>
      <c r="CN655" s="61"/>
      <c r="CO655" s="61"/>
      <c r="CP655" s="61"/>
      <c r="CQ655" s="61"/>
      <c r="CR655" s="61"/>
      <c r="CS655" s="61"/>
      <c r="CT655" s="61"/>
      <c r="CU655" s="61"/>
      <c r="CV655" s="61"/>
      <c r="CW655" s="61"/>
      <c r="CX655" s="61"/>
      <c r="CY655" s="61"/>
      <c r="CZ655" s="61"/>
      <c r="DA655" s="61"/>
      <c r="DB655" s="61"/>
      <c r="DC655" s="61"/>
      <c r="DD655" s="61"/>
      <c r="DE655" s="61"/>
      <c r="DF655" s="61"/>
      <c r="DG655" s="61"/>
      <c r="DH655" s="61"/>
      <c r="DI655" s="61"/>
      <c r="DJ655" s="61"/>
      <c r="DK655" s="61"/>
    </row>
    <row r="656" spans="1:115" ht="21" customHeight="1" x14ac:dyDescent="0.2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108"/>
      <c r="N656" s="108"/>
      <c r="O656" s="108"/>
      <c r="P656" s="108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  <c r="CM656" s="61"/>
      <c r="CN656" s="61"/>
      <c r="CO656" s="61"/>
      <c r="CP656" s="61"/>
      <c r="CQ656" s="61"/>
      <c r="CR656" s="61"/>
      <c r="CS656" s="61"/>
      <c r="CT656" s="61"/>
      <c r="CU656" s="61"/>
      <c r="CV656" s="61"/>
      <c r="CW656" s="61"/>
      <c r="CX656" s="61"/>
      <c r="CY656" s="61"/>
      <c r="CZ656" s="61"/>
      <c r="DA656" s="61"/>
      <c r="DB656" s="61"/>
      <c r="DC656" s="61"/>
      <c r="DD656" s="61"/>
      <c r="DE656" s="61"/>
      <c r="DF656" s="61"/>
      <c r="DG656" s="61"/>
      <c r="DH656" s="61"/>
      <c r="DI656" s="61"/>
      <c r="DJ656" s="61"/>
      <c r="DK656" s="61"/>
    </row>
    <row r="657" spans="1:115" ht="21" customHeight="1" x14ac:dyDescent="0.2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108"/>
      <c r="N657" s="108"/>
      <c r="O657" s="108"/>
      <c r="P657" s="108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  <c r="CD657" s="61"/>
      <c r="CE657" s="61"/>
      <c r="CF657" s="61"/>
      <c r="CG657" s="61"/>
      <c r="CH657" s="61"/>
      <c r="CI657" s="61"/>
      <c r="CJ657" s="61"/>
      <c r="CK657" s="61"/>
      <c r="CL657" s="61"/>
      <c r="CM657" s="61"/>
      <c r="CN657" s="61"/>
      <c r="CO657" s="61"/>
      <c r="CP657" s="61"/>
      <c r="CQ657" s="61"/>
      <c r="CR657" s="61"/>
      <c r="CS657" s="61"/>
      <c r="CT657" s="61"/>
      <c r="CU657" s="61"/>
      <c r="CV657" s="61"/>
      <c r="CW657" s="61"/>
      <c r="CX657" s="61"/>
      <c r="CY657" s="61"/>
      <c r="CZ657" s="61"/>
      <c r="DA657" s="61"/>
      <c r="DB657" s="61"/>
      <c r="DC657" s="61"/>
      <c r="DD657" s="61"/>
      <c r="DE657" s="61"/>
      <c r="DF657" s="61"/>
      <c r="DG657" s="61"/>
      <c r="DH657" s="61"/>
      <c r="DI657" s="61"/>
      <c r="DJ657" s="61"/>
      <c r="DK657" s="61"/>
    </row>
    <row r="658" spans="1:115" ht="21" customHeight="1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108"/>
      <c r="N658" s="108"/>
      <c r="O658" s="108"/>
      <c r="P658" s="108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  <c r="CD658" s="61"/>
      <c r="CE658" s="61"/>
      <c r="CF658" s="61"/>
      <c r="CG658" s="61"/>
      <c r="CH658" s="61"/>
      <c r="CI658" s="61"/>
      <c r="CJ658" s="61"/>
      <c r="CK658" s="61"/>
      <c r="CL658" s="61"/>
      <c r="CM658" s="61"/>
      <c r="CN658" s="61"/>
      <c r="CO658" s="61"/>
      <c r="CP658" s="61"/>
      <c r="CQ658" s="61"/>
      <c r="CR658" s="61"/>
      <c r="CS658" s="61"/>
      <c r="CT658" s="61"/>
      <c r="CU658" s="61"/>
      <c r="CV658" s="61"/>
      <c r="CW658" s="61"/>
      <c r="CX658" s="61"/>
      <c r="CY658" s="61"/>
      <c r="CZ658" s="61"/>
      <c r="DA658" s="61"/>
      <c r="DB658" s="61"/>
      <c r="DC658" s="61"/>
      <c r="DD658" s="61"/>
      <c r="DE658" s="61"/>
      <c r="DF658" s="61"/>
      <c r="DG658" s="61"/>
      <c r="DH658" s="61"/>
      <c r="DI658" s="61"/>
      <c r="DJ658" s="61"/>
      <c r="DK658" s="61"/>
    </row>
    <row r="659" spans="1:115" ht="21" customHeight="1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108"/>
      <c r="N659" s="108"/>
      <c r="O659" s="108"/>
      <c r="P659" s="108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  <c r="CD659" s="61"/>
      <c r="CE659" s="61"/>
      <c r="CF659" s="61"/>
      <c r="CG659" s="61"/>
      <c r="CH659" s="61"/>
      <c r="CI659" s="61"/>
      <c r="CJ659" s="61"/>
      <c r="CK659" s="61"/>
      <c r="CL659" s="61"/>
      <c r="CM659" s="61"/>
      <c r="CN659" s="61"/>
      <c r="CO659" s="61"/>
      <c r="CP659" s="61"/>
      <c r="CQ659" s="61"/>
      <c r="CR659" s="61"/>
      <c r="CS659" s="61"/>
      <c r="CT659" s="61"/>
      <c r="CU659" s="61"/>
      <c r="CV659" s="61"/>
      <c r="CW659" s="61"/>
      <c r="CX659" s="61"/>
      <c r="CY659" s="61"/>
      <c r="CZ659" s="61"/>
      <c r="DA659" s="61"/>
      <c r="DB659" s="61"/>
      <c r="DC659" s="61"/>
      <c r="DD659" s="61"/>
      <c r="DE659" s="61"/>
      <c r="DF659" s="61"/>
      <c r="DG659" s="61"/>
      <c r="DH659" s="61"/>
      <c r="DI659" s="61"/>
      <c r="DJ659" s="61"/>
      <c r="DK659" s="61"/>
    </row>
    <row r="660" spans="1:115" ht="21" customHeight="1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108"/>
      <c r="N660" s="108"/>
      <c r="O660" s="108"/>
      <c r="P660" s="108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  <c r="CD660" s="61"/>
      <c r="CE660" s="61"/>
      <c r="CF660" s="61"/>
      <c r="CG660" s="61"/>
      <c r="CH660" s="61"/>
      <c r="CI660" s="61"/>
      <c r="CJ660" s="61"/>
      <c r="CK660" s="61"/>
      <c r="CL660" s="61"/>
      <c r="CM660" s="61"/>
      <c r="CN660" s="61"/>
      <c r="CO660" s="61"/>
      <c r="CP660" s="61"/>
      <c r="CQ660" s="61"/>
      <c r="CR660" s="61"/>
      <c r="CS660" s="61"/>
      <c r="CT660" s="61"/>
      <c r="CU660" s="61"/>
      <c r="CV660" s="61"/>
      <c r="CW660" s="61"/>
      <c r="CX660" s="61"/>
      <c r="CY660" s="61"/>
      <c r="CZ660" s="61"/>
      <c r="DA660" s="61"/>
      <c r="DB660" s="61"/>
      <c r="DC660" s="61"/>
      <c r="DD660" s="61"/>
      <c r="DE660" s="61"/>
      <c r="DF660" s="61"/>
      <c r="DG660" s="61"/>
      <c r="DH660" s="61"/>
      <c r="DI660" s="61"/>
      <c r="DJ660" s="61"/>
      <c r="DK660" s="61"/>
    </row>
    <row r="661" spans="1:115" ht="21" customHeight="1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108"/>
      <c r="N661" s="108"/>
      <c r="O661" s="108"/>
      <c r="P661" s="108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  <c r="CD661" s="61"/>
      <c r="CE661" s="61"/>
      <c r="CF661" s="61"/>
      <c r="CG661" s="61"/>
      <c r="CH661" s="61"/>
      <c r="CI661" s="61"/>
      <c r="CJ661" s="61"/>
      <c r="CK661" s="61"/>
      <c r="CL661" s="61"/>
      <c r="CM661" s="61"/>
      <c r="CN661" s="61"/>
      <c r="CO661" s="61"/>
      <c r="CP661" s="61"/>
      <c r="CQ661" s="61"/>
      <c r="CR661" s="61"/>
      <c r="CS661" s="61"/>
      <c r="CT661" s="61"/>
      <c r="CU661" s="61"/>
      <c r="CV661" s="61"/>
      <c r="CW661" s="61"/>
      <c r="CX661" s="61"/>
      <c r="CY661" s="61"/>
      <c r="CZ661" s="61"/>
      <c r="DA661" s="61"/>
      <c r="DB661" s="61"/>
      <c r="DC661" s="61"/>
      <c r="DD661" s="61"/>
      <c r="DE661" s="61"/>
      <c r="DF661" s="61"/>
      <c r="DG661" s="61"/>
      <c r="DH661" s="61"/>
      <c r="DI661" s="61"/>
      <c r="DJ661" s="61"/>
      <c r="DK661" s="61"/>
    </row>
    <row r="662" spans="1:115" ht="21" customHeight="1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108"/>
      <c r="N662" s="108"/>
      <c r="O662" s="108"/>
      <c r="P662" s="108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  <c r="CD662" s="61"/>
      <c r="CE662" s="61"/>
      <c r="CF662" s="61"/>
      <c r="CG662" s="61"/>
      <c r="CH662" s="61"/>
      <c r="CI662" s="61"/>
      <c r="CJ662" s="61"/>
      <c r="CK662" s="61"/>
      <c r="CL662" s="61"/>
      <c r="CM662" s="61"/>
      <c r="CN662" s="61"/>
      <c r="CO662" s="61"/>
      <c r="CP662" s="61"/>
      <c r="CQ662" s="61"/>
      <c r="CR662" s="61"/>
      <c r="CS662" s="61"/>
      <c r="CT662" s="61"/>
      <c r="CU662" s="61"/>
      <c r="CV662" s="61"/>
      <c r="CW662" s="61"/>
      <c r="CX662" s="61"/>
      <c r="CY662" s="61"/>
      <c r="CZ662" s="61"/>
      <c r="DA662" s="61"/>
      <c r="DB662" s="61"/>
      <c r="DC662" s="61"/>
      <c r="DD662" s="61"/>
      <c r="DE662" s="61"/>
      <c r="DF662" s="61"/>
      <c r="DG662" s="61"/>
      <c r="DH662" s="61"/>
      <c r="DI662" s="61"/>
      <c r="DJ662" s="61"/>
      <c r="DK662" s="61"/>
    </row>
    <row r="663" spans="1:115" ht="21" customHeight="1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108"/>
      <c r="N663" s="108"/>
      <c r="O663" s="108"/>
      <c r="P663" s="108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  <c r="CD663" s="61"/>
      <c r="CE663" s="61"/>
      <c r="CF663" s="61"/>
      <c r="CG663" s="61"/>
      <c r="CH663" s="61"/>
      <c r="CI663" s="61"/>
      <c r="CJ663" s="61"/>
      <c r="CK663" s="61"/>
      <c r="CL663" s="61"/>
      <c r="CM663" s="61"/>
      <c r="CN663" s="61"/>
      <c r="CO663" s="61"/>
      <c r="CP663" s="61"/>
      <c r="CQ663" s="61"/>
      <c r="CR663" s="61"/>
      <c r="CS663" s="61"/>
      <c r="CT663" s="61"/>
      <c r="CU663" s="61"/>
      <c r="CV663" s="61"/>
      <c r="CW663" s="61"/>
      <c r="CX663" s="61"/>
      <c r="CY663" s="61"/>
      <c r="CZ663" s="61"/>
      <c r="DA663" s="61"/>
      <c r="DB663" s="61"/>
      <c r="DC663" s="61"/>
      <c r="DD663" s="61"/>
      <c r="DE663" s="61"/>
      <c r="DF663" s="61"/>
      <c r="DG663" s="61"/>
      <c r="DH663" s="61"/>
      <c r="DI663" s="61"/>
      <c r="DJ663" s="61"/>
      <c r="DK663" s="61"/>
    </row>
    <row r="664" spans="1:115" ht="21" customHeight="1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108"/>
      <c r="N664" s="108"/>
      <c r="O664" s="108"/>
      <c r="P664" s="108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  <c r="CD664" s="61"/>
      <c r="CE664" s="61"/>
      <c r="CF664" s="61"/>
      <c r="CG664" s="61"/>
      <c r="CH664" s="61"/>
      <c r="CI664" s="61"/>
      <c r="CJ664" s="61"/>
      <c r="CK664" s="61"/>
      <c r="CL664" s="61"/>
      <c r="CM664" s="61"/>
      <c r="CN664" s="61"/>
      <c r="CO664" s="61"/>
      <c r="CP664" s="61"/>
      <c r="CQ664" s="61"/>
      <c r="CR664" s="61"/>
      <c r="CS664" s="61"/>
      <c r="CT664" s="61"/>
      <c r="CU664" s="61"/>
      <c r="CV664" s="61"/>
      <c r="CW664" s="61"/>
      <c r="CX664" s="61"/>
      <c r="CY664" s="61"/>
      <c r="CZ664" s="61"/>
      <c r="DA664" s="61"/>
      <c r="DB664" s="61"/>
      <c r="DC664" s="61"/>
      <c r="DD664" s="61"/>
      <c r="DE664" s="61"/>
      <c r="DF664" s="61"/>
      <c r="DG664" s="61"/>
      <c r="DH664" s="61"/>
      <c r="DI664" s="61"/>
      <c r="DJ664" s="61"/>
      <c r="DK664" s="61"/>
    </row>
    <row r="665" spans="1:115" ht="21" customHeight="1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108"/>
      <c r="N665" s="108"/>
      <c r="O665" s="108"/>
      <c r="P665" s="108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  <c r="CD665" s="61"/>
      <c r="CE665" s="61"/>
      <c r="CF665" s="61"/>
      <c r="CG665" s="61"/>
      <c r="CH665" s="61"/>
      <c r="CI665" s="61"/>
      <c r="CJ665" s="61"/>
      <c r="CK665" s="61"/>
      <c r="CL665" s="61"/>
      <c r="CM665" s="61"/>
      <c r="CN665" s="61"/>
      <c r="CO665" s="61"/>
      <c r="CP665" s="61"/>
      <c r="CQ665" s="61"/>
      <c r="CR665" s="61"/>
      <c r="CS665" s="61"/>
      <c r="CT665" s="61"/>
      <c r="CU665" s="61"/>
      <c r="CV665" s="61"/>
      <c r="CW665" s="61"/>
      <c r="CX665" s="61"/>
      <c r="CY665" s="61"/>
      <c r="CZ665" s="61"/>
      <c r="DA665" s="61"/>
      <c r="DB665" s="61"/>
      <c r="DC665" s="61"/>
      <c r="DD665" s="61"/>
      <c r="DE665" s="61"/>
      <c r="DF665" s="61"/>
      <c r="DG665" s="61"/>
      <c r="DH665" s="61"/>
      <c r="DI665" s="61"/>
      <c r="DJ665" s="61"/>
      <c r="DK665" s="61"/>
    </row>
    <row r="666" spans="1:115" ht="21" customHeight="1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108"/>
      <c r="N666" s="108"/>
      <c r="O666" s="108"/>
      <c r="P666" s="108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  <c r="CD666" s="61"/>
      <c r="CE666" s="61"/>
      <c r="CF666" s="61"/>
      <c r="CG666" s="61"/>
      <c r="CH666" s="61"/>
      <c r="CI666" s="61"/>
      <c r="CJ666" s="61"/>
      <c r="CK666" s="61"/>
      <c r="CL666" s="61"/>
      <c r="CM666" s="61"/>
      <c r="CN666" s="61"/>
      <c r="CO666" s="61"/>
      <c r="CP666" s="61"/>
      <c r="CQ666" s="61"/>
      <c r="CR666" s="61"/>
      <c r="CS666" s="61"/>
      <c r="CT666" s="61"/>
      <c r="CU666" s="61"/>
      <c r="CV666" s="61"/>
      <c r="CW666" s="61"/>
      <c r="CX666" s="61"/>
      <c r="CY666" s="61"/>
      <c r="CZ666" s="61"/>
      <c r="DA666" s="61"/>
      <c r="DB666" s="61"/>
      <c r="DC666" s="61"/>
      <c r="DD666" s="61"/>
      <c r="DE666" s="61"/>
      <c r="DF666" s="61"/>
      <c r="DG666" s="61"/>
      <c r="DH666" s="61"/>
      <c r="DI666" s="61"/>
      <c r="DJ666" s="61"/>
      <c r="DK666" s="61"/>
    </row>
    <row r="667" spans="1:115" ht="21" customHeight="1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108"/>
      <c r="N667" s="108"/>
      <c r="O667" s="108"/>
      <c r="P667" s="108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  <c r="CP667" s="61"/>
      <c r="CQ667" s="61"/>
      <c r="CR667" s="61"/>
      <c r="CS667" s="61"/>
      <c r="CT667" s="61"/>
      <c r="CU667" s="61"/>
      <c r="CV667" s="61"/>
      <c r="CW667" s="61"/>
      <c r="CX667" s="61"/>
      <c r="CY667" s="61"/>
      <c r="CZ667" s="61"/>
      <c r="DA667" s="61"/>
      <c r="DB667" s="61"/>
      <c r="DC667" s="61"/>
      <c r="DD667" s="61"/>
      <c r="DE667" s="61"/>
      <c r="DF667" s="61"/>
      <c r="DG667" s="61"/>
      <c r="DH667" s="61"/>
      <c r="DI667" s="61"/>
      <c r="DJ667" s="61"/>
      <c r="DK667" s="61"/>
    </row>
    <row r="668" spans="1:115" ht="21" customHeight="1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108"/>
      <c r="N668" s="108"/>
      <c r="O668" s="108"/>
      <c r="P668" s="108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  <c r="CD668" s="61"/>
      <c r="CE668" s="61"/>
      <c r="CF668" s="61"/>
      <c r="CG668" s="61"/>
      <c r="CH668" s="61"/>
      <c r="CI668" s="61"/>
      <c r="CJ668" s="61"/>
      <c r="CK668" s="61"/>
      <c r="CL668" s="61"/>
      <c r="CM668" s="61"/>
      <c r="CN668" s="61"/>
      <c r="CO668" s="61"/>
      <c r="CP668" s="61"/>
      <c r="CQ668" s="61"/>
      <c r="CR668" s="61"/>
      <c r="CS668" s="61"/>
      <c r="CT668" s="61"/>
      <c r="CU668" s="61"/>
      <c r="CV668" s="61"/>
      <c r="CW668" s="61"/>
      <c r="CX668" s="61"/>
      <c r="CY668" s="61"/>
      <c r="CZ668" s="61"/>
      <c r="DA668" s="61"/>
      <c r="DB668" s="61"/>
      <c r="DC668" s="61"/>
      <c r="DD668" s="61"/>
      <c r="DE668" s="61"/>
      <c r="DF668" s="61"/>
      <c r="DG668" s="61"/>
      <c r="DH668" s="61"/>
      <c r="DI668" s="61"/>
      <c r="DJ668" s="61"/>
      <c r="DK668" s="61"/>
    </row>
    <row r="669" spans="1:115" ht="21" customHeight="1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108"/>
      <c r="N669" s="108"/>
      <c r="O669" s="108"/>
      <c r="P669" s="108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  <c r="CD669" s="61"/>
      <c r="CE669" s="61"/>
      <c r="CF669" s="61"/>
      <c r="CG669" s="61"/>
      <c r="CH669" s="61"/>
      <c r="CI669" s="61"/>
      <c r="CJ669" s="61"/>
      <c r="CK669" s="61"/>
      <c r="CL669" s="61"/>
      <c r="CM669" s="61"/>
      <c r="CN669" s="61"/>
      <c r="CO669" s="61"/>
      <c r="CP669" s="61"/>
      <c r="CQ669" s="61"/>
      <c r="CR669" s="61"/>
      <c r="CS669" s="61"/>
      <c r="CT669" s="61"/>
      <c r="CU669" s="61"/>
      <c r="CV669" s="61"/>
      <c r="CW669" s="61"/>
      <c r="CX669" s="61"/>
      <c r="CY669" s="61"/>
      <c r="CZ669" s="61"/>
      <c r="DA669" s="61"/>
      <c r="DB669" s="61"/>
      <c r="DC669" s="61"/>
      <c r="DD669" s="61"/>
      <c r="DE669" s="61"/>
      <c r="DF669" s="61"/>
      <c r="DG669" s="61"/>
      <c r="DH669" s="61"/>
      <c r="DI669" s="61"/>
      <c r="DJ669" s="61"/>
      <c r="DK669" s="61"/>
    </row>
    <row r="670" spans="1:115" ht="21" customHeight="1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108"/>
      <c r="N670" s="108"/>
      <c r="O670" s="108"/>
      <c r="P670" s="108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  <c r="CD670" s="61"/>
      <c r="CE670" s="61"/>
      <c r="CF670" s="61"/>
      <c r="CG670" s="61"/>
      <c r="CH670" s="61"/>
      <c r="CI670" s="61"/>
      <c r="CJ670" s="61"/>
      <c r="CK670" s="61"/>
      <c r="CL670" s="61"/>
      <c r="CM670" s="61"/>
      <c r="CN670" s="61"/>
      <c r="CO670" s="61"/>
      <c r="CP670" s="61"/>
      <c r="CQ670" s="61"/>
      <c r="CR670" s="61"/>
      <c r="CS670" s="61"/>
      <c r="CT670" s="61"/>
      <c r="CU670" s="61"/>
      <c r="CV670" s="61"/>
      <c r="CW670" s="61"/>
      <c r="CX670" s="61"/>
      <c r="CY670" s="61"/>
      <c r="CZ670" s="61"/>
      <c r="DA670" s="61"/>
      <c r="DB670" s="61"/>
      <c r="DC670" s="61"/>
      <c r="DD670" s="61"/>
      <c r="DE670" s="61"/>
      <c r="DF670" s="61"/>
      <c r="DG670" s="61"/>
      <c r="DH670" s="61"/>
      <c r="DI670" s="61"/>
      <c r="DJ670" s="61"/>
      <c r="DK670" s="61"/>
    </row>
    <row r="671" spans="1:115" ht="21" customHeight="1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108"/>
      <c r="N671" s="108"/>
      <c r="O671" s="108"/>
      <c r="P671" s="108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  <c r="CD671" s="61"/>
      <c r="CE671" s="61"/>
      <c r="CF671" s="61"/>
      <c r="CG671" s="61"/>
      <c r="CH671" s="61"/>
      <c r="CI671" s="61"/>
      <c r="CJ671" s="61"/>
      <c r="CK671" s="61"/>
      <c r="CL671" s="61"/>
      <c r="CM671" s="61"/>
      <c r="CN671" s="61"/>
      <c r="CO671" s="61"/>
      <c r="CP671" s="61"/>
      <c r="CQ671" s="61"/>
      <c r="CR671" s="61"/>
      <c r="CS671" s="61"/>
      <c r="CT671" s="61"/>
      <c r="CU671" s="61"/>
      <c r="CV671" s="61"/>
      <c r="CW671" s="61"/>
      <c r="CX671" s="61"/>
      <c r="CY671" s="61"/>
      <c r="CZ671" s="61"/>
      <c r="DA671" s="61"/>
      <c r="DB671" s="61"/>
      <c r="DC671" s="61"/>
      <c r="DD671" s="61"/>
      <c r="DE671" s="61"/>
      <c r="DF671" s="61"/>
      <c r="DG671" s="61"/>
      <c r="DH671" s="61"/>
      <c r="DI671" s="61"/>
      <c r="DJ671" s="61"/>
      <c r="DK671" s="61"/>
    </row>
    <row r="672" spans="1:115" ht="21" customHeight="1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108"/>
      <c r="N672" s="108"/>
      <c r="O672" s="108"/>
      <c r="P672" s="108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  <c r="CD672" s="61"/>
      <c r="CE672" s="61"/>
      <c r="CF672" s="61"/>
      <c r="CG672" s="61"/>
      <c r="CH672" s="61"/>
      <c r="CI672" s="61"/>
      <c r="CJ672" s="61"/>
      <c r="CK672" s="61"/>
      <c r="CL672" s="61"/>
      <c r="CM672" s="61"/>
      <c r="CN672" s="61"/>
      <c r="CO672" s="61"/>
      <c r="CP672" s="61"/>
      <c r="CQ672" s="61"/>
      <c r="CR672" s="61"/>
      <c r="CS672" s="61"/>
      <c r="CT672" s="61"/>
      <c r="CU672" s="61"/>
      <c r="CV672" s="61"/>
      <c r="CW672" s="61"/>
      <c r="CX672" s="61"/>
      <c r="CY672" s="61"/>
      <c r="CZ672" s="61"/>
      <c r="DA672" s="61"/>
      <c r="DB672" s="61"/>
      <c r="DC672" s="61"/>
      <c r="DD672" s="61"/>
      <c r="DE672" s="61"/>
      <c r="DF672" s="61"/>
      <c r="DG672" s="61"/>
      <c r="DH672" s="61"/>
      <c r="DI672" s="61"/>
      <c r="DJ672" s="61"/>
      <c r="DK672" s="61"/>
    </row>
    <row r="673" spans="1:115" ht="21" customHeight="1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108"/>
      <c r="N673" s="108"/>
      <c r="O673" s="108"/>
      <c r="P673" s="108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  <c r="CD673" s="61"/>
      <c r="CE673" s="61"/>
      <c r="CF673" s="61"/>
      <c r="CG673" s="61"/>
      <c r="CH673" s="61"/>
      <c r="CI673" s="61"/>
      <c r="CJ673" s="61"/>
      <c r="CK673" s="61"/>
      <c r="CL673" s="61"/>
      <c r="CM673" s="61"/>
      <c r="CN673" s="61"/>
      <c r="CO673" s="61"/>
      <c r="CP673" s="61"/>
      <c r="CQ673" s="61"/>
      <c r="CR673" s="61"/>
      <c r="CS673" s="61"/>
      <c r="CT673" s="61"/>
      <c r="CU673" s="61"/>
      <c r="CV673" s="61"/>
      <c r="CW673" s="61"/>
      <c r="CX673" s="61"/>
      <c r="CY673" s="61"/>
      <c r="CZ673" s="61"/>
      <c r="DA673" s="61"/>
      <c r="DB673" s="61"/>
      <c r="DC673" s="61"/>
      <c r="DD673" s="61"/>
      <c r="DE673" s="61"/>
      <c r="DF673" s="61"/>
      <c r="DG673" s="61"/>
      <c r="DH673" s="61"/>
      <c r="DI673" s="61"/>
      <c r="DJ673" s="61"/>
      <c r="DK673" s="61"/>
    </row>
    <row r="674" spans="1:115" ht="21" customHeight="1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108"/>
      <c r="N674" s="108"/>
      <c r="O674" s="108"/>
      <c r="P674" s="108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  <c r="CD674" s="61"/>
      <c r="CE674" s="61"/>
      <c r="CF674" s="61"/>
      <c r="CG674" s="61"/>
      <c r="CH674" s="61"/>
      <c r="CI674" s="61"/>
      <c r="CJ674" s="61"/>
      <c r="CK674" s="61"/>
      <c r="CL674" s="61"/>
      <c r="CM674" s="61"/>
      <c r="CN674" s="61"/>
      <c r="CO674" s="61"/>
      <c r="CP674" s="61"/>
      <c r="CQ674" s="61"/>
      <c r="CR674" s="61"/>
      <c r="CS674" s="61"/>
      <c r="CT674" s="61"/>
      <c r="CU674" s="61"/>
      <c r="CV674" s="61"/>
      <c r="CW674" s="61"/>
      <c r="CX674" s="61"/>
      <c r="CY674" s="61"/>
      <c r="CZ674" s="61"/>
      <c r="DA674" s="61"/>
      <c r="DB674" s="61"/>
      <c r="DC674" s="61"/>
      <c r="DD674" s="61"/>
      <c r="DE674" s="61"/>
      <c r="DF674" s="61"/>
      <c r="DG674" s="61"/>
      <c r="DH674" s="61"/>
      <c r="DI674" s="61"/>
      <c r="DJ674" s="61"/>
      <c r="DK674" s="61"/>
    </row>
    <row r="675" spans="1:115" ht="21" customHeight="1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108"/>
      <c r="N675" s="108"/>
      <c r="O675" s="108"/>
      <c r="P675" s="108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  <c r="CD675" s="61"/>
      <c r="CE675" s="61"/>
      <c r="CF675" s="61"/>
      <c r="CG675" s="61"/>
      <c r="CH675" s="61"/>
      <c r="CI675" s="61"/>
      <c r="CJ675" s="61"/>
      <c r="CK675" s="61"/>
      <c r="CL675" s="61"/>
      <c r="CM675" s="61"/>
      <c r="CN675" s="61"/>
      <c r="CO675" s="61"/>
      <c r="CP675" s="61"/>
      <c r="CQ675" s="61"/>
      <c r="CR675" s="61"/>
      <c r="CS675" s="61"/>
      <c r="CT675" s="61"/>
      <c r="CU675" s="61"/>
      <c r="CV675" s="61"/>
      <c r="CW675" s="61"/>
      <c r="CX675" s="61"/>
      <c r="CY675" s="61"/>
      <c r="CZ675" s="61"/>
      <c r="DA675" s="61"/>
      <c r="DB675" s="61"/>
      <c r="DC675" s="61"/>
      <c r="DD675" s="61"/>
      <c r="DE675" s="61"/>
      <c r="DF675" s="61"/>
      <c r="DG675" s="61"/>
      <c r="DH675" s="61"/>
      <c r="DI675" s="61"/>
      <c r="DJ675" s="61"/>
      <c r="DK675" s="61"/>
    </row>
    <row r="676" spans="1:115" ht="21" customHeight="1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108"/>
      <c r="N676" s="108"/>
      <c r="O676" s="108"/>
      <c r="P676" s="108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  <c r="CD676" s="61"/>
      <c r="CE676" s="61"/>
      <c r="CF676" s="61"/>
      <c r="CG676" s="61"/>
      <c r="CH676" s="61"/>
      <c r="CI676" s="61"/>
      <c r="CJ676" s="61"/>
      <c r="CK676" s="61"/>
      <c r="CL676" s="61"/>
      <c r="CM676" s="61"/>
      <c r="CN676" s="61"/>
      <c r="CO676" s="61"/>
      <c r="CP676" s="61"/>
      <c r="CQ676" s="61"/>
      <c r="CR676" s="61"/>
      <c r="CS676" s="61"/>
      <c r="CT676" s="61"/>
      <c r="CU676" s="61"/>
      <c r="CV676" s="61"/>
      <c r="CW676" s="61"/>
      <c r="CX676" s="61"/>
      <c r="CY676" s="61"/>
      <c r="CZ676" s="61"/>
      <c r="DA676" s="61"/>
      <c r="DB676" s="61"/>
      <c r="DC676" s="61"/>
      <c r="DD676" s="61"/>
      <c r="DE676" s="61"/>
      <c r="DF676" s="61"/>
      <c r="DG676" s="61"/>
      <c r="DH676" s="61"/>
      <c r="DI676" s="61"/>
      <c r="DJ676" s="61"/>
      <c r="DK676" s="61"/>
    </row>
    <row r="677" spans="1:115" ht="21" customHeight="1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108"/>
      <c r="N677" s="108"/>
      <c r="O677" s="108"/>
      <c r="P677" s="108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  <c r="CD677" s="61"/>
      <c r="CE677" s="61"/>
      <c r="CF677" s="61"/>
      <c r="CG677" s="61"/>
      <c r="CH677" s="61"/>
      <c r="CI677" s="61"/>
      <c r="CJ677" s="61"/>
      <c r="CK677" s="61"/>
      <c r="CL677" s="61"/>
      <c r="CM677" s="61"/>
      <c r="CN677" s="61"/>
      <c r="CO677" s="61"/>
      <c r="CP677" s="61"/>
      <c r="CQ677" s="61"/>
      <c r="CR677" s="61"/>
      <c r="CS677" s="61"/>
      <c r="CT677" s="61"/>
      <c r="CU677" s="61"/>
      <c r="CV677" s="61"/>
      <c r="CW677" s="61"/>
      <c r="CX677" s="61"/>
      <c r="CY677" s="61"/>
      <c r="CZ677" s="61"/>
      <c r="DA677" s="61"/>
      <c r="DB677" s="61"/>
      <c r="DC677" s="61"/>
      <c r="DD677" s="61"/>
      <c r="DE677" s="61"/>
      <c r="DF677" s="61"/>
      <c r="DG677" s="61"/>
      <c r="DH677" s="61"/>
      <c r="DI677" s="61"/>
      <c r="DJ677" s="61"/>
      <c r="DK677" s="61"/>
    </row>
    <row r="678" spans="1:115" ht="21" customHeight="1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108"/>
      <c r="N678" s="108"/>
      <c r="O678" s="108"/>
      <c r="P678" s="108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/>
      <c r="CH678" s="61"/>
      <c r="CI678" s="61"/>
      <c r="CJ678" s="61"/>
      <c r="CK678" s="61"/>
      <c r="CL678" s="61"/>
      <c r="CM678" s="61"/>
      <c r="CN678" s="61"/>
      <c r="CO678" s="61"/>
      <c r="CP678" s="61"/>
      <c r="CQ678" s="61"/>
      <c r="CR678" s="61"/>
      <c r="CS678" s="61"/>
      <c r="CT678" s="61"/>
      <c r="CU678" s="61"/>
      <c r="CV678" s="61"/>
      <c r="CW678" s="61"/>
      <c r="CX678" s="61"/>
      <c r="CY678" s="61"/>
      <c r="CZ678" s="61"/>
      <c r="DA678" s="61"/>
      <c r="DB678" s="61"/>
      <c r="DC678" s="61"/>
      <c r="DD678" s="61"/>
      <c r="DE678" s="61"/>
      <c r="DF678" s="61"/>
      <c r="DG678" s="61"/>
      <c r="DH678" s="61"/>
      <c r="DI678" s="61"/>
      <c r="DJ678" s="61"/>
      <c r="DK678" s="61"/>
    </row>
    <row r="679" spans="1:115" ht="21" customHeight="1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108"/>
      <c r="N679" s="108"/>
      <c r="O679" s="108"/>
      <c r="P679" s="108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  <c r="CD679" s="61"/>
      <c r="CE679" s="61"/>
      <c r="CF679" s="61"/>
      <c r="CG679" s="61"/>
      <c r="CH679" s="61"/>
      <c r="CI679" s="61"/>
      <c r="CJ679" s="61"/>
      <c r="CK679" s="61"/>
      <c r="CL679" s="61"/>
      <c r="CM679" s="61"/>
      <c r="CN679" s="61"/>
      <c r="CO679" s="61"/>
      <c r="CP679" s="61"/>
      <c r="CQ679" s="61"/>
      <c r="CR679" s="61"/>
      <c r="CS679" s="61"/>
      <c r="CT679" s="61"/>
      <c r="CU679" s="61"/>
      <c r="CV679" s="61"/>
      <c r="CW679" s="61"/>
      <c r="CX679" s="61"/>
      <c r="CY679" s="61"/>
      <c r="CZ679" s="61"/>
      <c r="DA679" s="61"/>
      <c r="DB679" s="61"/>
      <c r="DC679" s="61"/>
      <c r="DD679" s="61"/>
      <c r="DE679" s="61"/>
      <c r="DF679" s="61"/>
      <c r="DG679" s="61"/>
      <c r="DH679" s="61"/>
      <c r="DI679" s="61"/>
      <c r="DJ679" s="61"/>
      <c r="DK679" s="61"/>
    </row>
    <row r="680" spans="1:115" ht="21" customHeight="1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108"/>
      <c r="N680" s="108"/>
      <c r="O680" s="108"/>
      <c r="P680" s="108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  <c r="CD680" s="61"/>
      <c r="CE680" s="61"/>
      <c r="CF680" s="61"/>
      <c r="CG680" s="61"/>
      <c r="CH680" s="61"/>
      <c r="CI680" s="61"/>
      <c r="CJ680" s="61"/>
      <c r="CK680" s="61"/>
      <c r="CL680" s="61"/>
      <c r="CM680" s="61"/>
      <c r="CN680" s="61"/>
      <c r="CO680" s="61"/>
      <c r="CP680" s="61"/>
      <c r="CQ680" s="61"/>
      <c r="CR680" s="61"/>
      <c r="CS680" s="61"/>
      <c r="CT680" s="61"/>
      <c r="CU680" s="61"/>
      <c r="CV680" s="61"/>
      <c r="CW680" s="61"/>
      <c r="CX680" s="61"/>
      <c r="CY680" s="61"/>
      <c r="CZ680" s="61"/>
      <c r="DA680" s="61"/>
      <c r="DB680" s="61"/>
      <c r="DC680" s="61"/>
      <c r="DD680" s="61"/>
      <c r="DE680" s="61"/>
      <c r="DF680" s="61"/>
      <c r="DG680" s="61"/>
      <c r="DH680" s="61"/>
      <c r="DI680" s="61"/>
      <c r="DJ680" s="61"/>
      <c r="DK680" s="61"/>
    </row>
    <row r="681" spans="1:115" ht="21" customHeight="1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108"/>
      <c r="N681" s="108"/>
      <c r="O681" s="108"/>
      <c r="P681" s="108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  <c r="CD681" s="61"/>
      <c r="CE681" s="61"/>
      <c r="CF681" s="61"/>
      <c r="CG681" s="61"/>
      <c r="CH681" s="61"/>
      <c r="CI681" s="61"/>
      <c r="CJ681" s="61"/>
      <c r="CK681" s="61"/>
      <c r="CL681" s="61"/>
      <c r="CM681" s="61"/>
      <c r="CN681" s="61"/>
      <c r="CO681" s="61"/>
      <c r="CP681" s="61"/>
      <c r="CQ681" s="61"/>
      <c r="CR681" s="61"/>
      <c r="CS681" s="61"/>
      <c r="CT681" s="61"/>
      <c r="CU681" s="61"/>
      <c r="CV681" s="61"/>
      <c r="CW681" s="61"/>
      <c r="CX681" s="61"/>
      <c r="CY681" s="61"/>
      <c r="CZ681" s="61"/>
      <c r="DA681" s="61"/>
      <c r="DB681" s="61"/>
      <c r="DC681" s="61"/>
      <c r="DD681" s="61"/>
      <c r="DE681" s="61"/>
      <c r="DF681" s="61"/>
      <c r="DG681" s="61"/>
      <c r="DH681" s="61"/>
      <c r="DI681" s="61"/>
      <c r="DJ681" s="61"/>
      <c r="DK681" s="61"/>
    </row>
    <row r="682" spans="1:115" ht="21" customHeight="1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108"/>
      <c r="N682" s="108"/>
      <c r="O682" s="108"/>
      <c r="P682" s="108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  <c r="CD682" s="61"/>
      <c r="CE682" s="61"/>
      <c r="CF682" s="61"/>
      <c r="CG682" s="61"/>
      <c r="CH682" s="61"/>
      <c r="CI682" s="61"/>
      <c r="CJ682" s="61"/>
      <c r="CK682" s="61"/>
      <c r="CL682" s="61"/>
      <c r="CM682" s="61"/>
      <c r="CN682" s="61"/>
      <c r="CO682" s="61"/>
      <c r="CP682" s="61"/>
      <c r="CQ682" s="61"/>
      <c r="CR682" s="61"/>
      <c r="CS682" s="61"/>
      <c r="CT682" s="61"/>
      <c r="CU682" s="61"/>
      <c r="CV682" s="61"/>
      <c r="CW682" s="61"/>
      <c r="CX682" s="61"/>
      <c r="CY682" s="61"/>
      <c r="CZ682" s="61"/>
      <c r="DA682" s="61"/>
      <c r="DB682" s="61"/>
      <c r="DC682" s="61"/>
      <c r="DD682" s="61"/>
      <c r="DE682" s="61"/>
      <c r="DF682" s="61"/>
      <c r="DG682" s="61"/>
      <c r="DH682" s="61"/>
      <c r="DI682" s="61"/>
      <c r="DJ682" s="61"/>
      <c r="DK682" s="61"/>
    </row>
    <row r="683" spans="1:115" ht="21" customHeight="1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108"/>
      <c r="N683" s="108"/>
      <c r="O683" s="108"/>
      <c r="P683" s="108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  <c r="CD683" s="61"/>
      <c r="CE683" s="61"/>
      <c r="CF683" s="61"/>
      <c r="CG683" s="61"/>
      <c r="CH683" s="61"/>
      <c r="CI683" s="61"/>
      <c r="CJ683" s="61"/>
      <c r="CK683" s="61"/>
      <c r="CL683" s="61"/>
      <c r="CM683" s="61"/>
      <c r="CN683" s="61"/>
      <c r="CO683" s="61"/>
      <c r="CP683" s="61"/>
      <c r="CQ683" s="61"/>
      <c r="CR683" s="61"/>
      <c r="CS683" s="61"/>
      <c r="CT683" s="61"/>
      <c r="CU683" s="61"/>
      <c r="CV683" s="61"/>
      <c r="CW683" s="61"/>
      <c r="CX683" s="61"/>
      <c r="CY683" s="61"/>
      <c r="CZ683" s="61"/>
      <c r="DA683" s="61"/>
      <c r="DB683" s="61"/>
      <c r="DC683" s="61"/>
      <c r="DD683" s="61"/>
      <c r="DE683" s="61"/>
      <c r="DF683" s="61"/>
      <c r="DG683" s="61"/>
      <c r="DH683" s="61"/>
      <c r="DI683" s="61"/>
      <c r="DJ683" s="61"/>
      <c r="DK683" s="61"/>
    </row>
    <row r="684" spans="1:115" ht="21" customHeight="1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108"/>
      <c r="N684" s="108"/>
      <c r="O684" s="108"/>
      <c r="P684" s="108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  <c r="CD684" s="61"/>
      <c r="CE684" s="61"/>
      <c r="CF684" s="61"/>
      <c r="CG684" s="61"/>
      <c r="CH684" s="61"/>
      <c r="CI684" s="61"/>
      <c r="CJ684" s="61"/>
      <c r="CK684" s="61"/>
      <c r="CL684" s="61"/>
      <c r="CM684" s="61"/>
      <c r="CN684" s="61"/>
      <c r="CO684" s="61"/>
      <c r="CP684" s="61"/>
      <c r="CQ684" s="61"/>
      <c r="CR684" s="61"/>
      <c r="CS684" s="61"/>
      <c r="CT684" s="61"/>
      <c r="CU684" s="61"/>
      <c r="CV684" s="61"/>
      <c r="CW684" s="61"/>
      <c r="CX684" s="61"/>
      <c r="CY684" s="61"/>
      <c r="CZ684" s="61"/>
      <c r="DA684" s="61"/>
      <c r="DB684" s="61"/>
      <c r="DC684" s="61"/>
      <c r="DD684" s="61"/>
      <c r="DE684" s="61"/>
      <c r="DF684" s="61"/>
      <c r="DG684" s="61"/>
      <c r="DH684" s="61"/>
      <c r="DI684" s="61"/>
      <c r="DJ684" s="61"/>
      <c r="DK684" s="61"/>
    </row>
    <row r="685" spans="1:115" ht="21" customHeight="1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108"/>
      <c r="N685" s="108"/>
      <c r="O685" s="108"/>
      <c r="P685" s="108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  <c r="CD685" s="61"/>
      <c r="CE685" s="61"/>
      <c r="CF685" s="61"/>
      <c r="CG685" s="61"/>
      <c r="CH685" s="61"/>
      <c r="CI685" s="61"/>
      <c r="CJ685" s="61"/>
      <c r="CK685" s="61"/>
      <c r="CL685" s="61"/>
      <c r="CM685" s="61"/>
      <c r="CN685" s="61"/>
      <c r="CO685" s="61"/>
      <c r="CP685" s="61"/>
      <c r="CQ685" s="61"/>
      <c r="CR685" s="61"/>
      <c r="CS685" s="61"/>
      <c r="CT685" s="61"/>
      <c r="CU685" s="61"/>
      <c r="CV685" s="61"/>
      <c r="CW685" s="61"/>
      <c r="CX685" s="61"/>
      <c r="CY685" s="61"/>
      <c r="CZ685" s="61"/>
      <c r="DA685" s="61"/>
      <c r="DB685" s="61"/>
      <c r="DC685" s="61"/>
      <c r="DD685" s="61"/>
      <c r="DE685" s="61"/>
      <c r="DF685" s="61"/>
      <c r="DG685" s="61"/>
      <c r="DH685" s="61"/>
      <c r="DI685" s="61"/>
      <c r="DJ685" s="61"/>
      <c r="DK685" s="61"/>
    </row>
    <row r="686" spans="1:115" ht="21" customHeight="1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108"/>
      <c r="N686" s="108"/>
      <c r="O686" s="108"/>
      <c r="P686" s="108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  <c r="CM686" s="61"/>
      <c r="CN686" s="61"/>
      <c r="CO686" s="61"/>
      <c r="CP686" s="61"/>
      <c r="CQ686" s="61"/>
      <c r="CR686" s="61"/>
      <c r="CS686" s="61"/>
      <c r="CT686" s="61"/>
      <c r="CU686" s="61"/>
      <c r="CV686" s="61"/>
      <c r="CW686" s="61"/>
      <c r="CX686" s="61"/>
      <c r="CY686" s="61"/>
      <c r="CZ686" s="61"/>
      <c r="DA686" s="61"/>
      <c r="DB686" s="61"/>
      <c r="DC686" s="61"/>
      <c r="DD686" s="61"/>
      <c r="DE686" s="61"/>
      <c r="DF686" s="61"/>
      <c r="DG686" s="61"/>
      <c r="DH686" s="61"/>
      <c r="DI686" s="61"/>
      <c r="DJ686" s="61"/>
      <c r="DK686" s="61"/>
    </row>
    <row r="687" spans="1:115" ht="21" customHeight="1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108"/>
      <c r="N687" s="108"/>
      <c r="O687" s="108"/>
      <c r="P687" s="108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  <c r="CD687" s="61"/>
      <c r="CE687" s="61"/>
      <c r="CF687" s="61"/>
      <c r="CG687" s="61"/>
      <c r="CH687" s="61"/>
      <c r="CI687" s="61"/>
      <c r="CJ687" s="61"/>
      <c r="CK687" s="61"/>
      <c r="CL687" s="61"/>
      <c r="CM687" s="61"/>
      <c r="CN687" s="61"/>
      <c r="CO687" s="61"/>
      <c r="CP687" s="61"/>
      <c r="CQ687" s="61"/>
      <c r="CR687" s="61"/>
      <c r="CS687" s="61"/>
      <c r="CT687" s="61"/>
      <c r="CU687" s="61"/>
      <c r="CV687" s="61"/>
      <c r="CW687" s="61"/>
      <c r="CX687" s="61"/>
      <c r="CY687" s="61"/>
      <c r="CZ687" s="61"/>
      <c r="DA687" s="61"/>
      <c r="DB687" s="61"/>
      <c r="DC687" s="61"/>
      <c r="DD687" s="61"/>
      <c r="DE687" s="61"/>
      <c r="DF687" s="61"/>
      <c r="DG687" s="61"/>
      <c r="DH687" s="61"/>
      <c r="DI687" s="61"/>
      <c r="DJ687" s="61"/>
      <c r="DK687" s="61"/>
    </row>
    <row r="688" spans="1:115" ht="21" customHeight="1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108"/>
      <c r="N688" s="108"/>
      <c r="O688" s="108"/>
      <c r="P688" s="108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  <c r="CD688" s="61"/>
      <c r="CE688" s="61"/>
      <c r="CF688" s="61"/>
      <c r="CG688" s="61"/>
      <c r="CH688" s="61"/>
      <c r="CI688" s="61"/>
      <c r="CJ688" s="61"/>
      <c r="CK688" s="61"/>
      <c r="CL688" s="61"/>
      <c r="CM688" s="61"/>
      <c r="CN688" s="61"/>
      <c r="CO688" s="61"/>
      <c r="CP688" s="61"/>
      <c r="CQ688" s="61"/>
      <c r="CR688" s="61"/>
      <c r="CS688" s="61"/>
      <c r="CT688" s="61"/>
      <c r="CU688" s="61"/>
      <c r="CV688" s="61"/>
      <c r="CW688" s="61"/>
      <c r="CX688" s="61"/>
      <c r="CY688" s="61"/>
      <c r="CZ688" s="61"/>
      <c r="DA688" s="61"/>
      <c r="DB688" s="61"/>
      <c r="DC688" s="61"/>
      <c r="DD688" s="61"/>
      <c r="DE688" s="61"/>
      <c r="DF688" s="61"/>
      <c r="DG688" s="61"/>
      <c r="DH688" s="61"/>
      <c r="DI688" s="61"/>
      <c r="DJ688" s="61"/>
      <c r="DK688" s="61"/>
    </row>
    <row r="689" spans="1:115" ht="21" customHeight="1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108"/>
      <c r="N689" s="108"/>
      <c r="O689" s="108"/>
      <c r="P689" s="108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  <c r="CD689" s="61"/>
      <c r="CE689" s="61"/>
      <c r="CF689" s="61"/>
      <c r="CG689" s="61"/>
      <c r="CH689" s="61"/>
      <c r="CI689" s="61"/>
      <c r="CJ689" s="61"/>
      <c r="CK689" s="61"/>
      <c r="CL689" s="61"/>
      <c r="CM689" s="61"/>
      <c r="CN689" s="61"/>
      <c r="CO689" s="61"/>
      <c r="CP689" s="61"/>
      <c r="CQ689" s="61"/>
      <c r="CR689" s="61"/>
      <c r="CS689" s="61"/>
      <c r="CT689" s="61"/>
      <c r="CU689" s="61"/>
      <c r="CV689" s="61"/>
      <c r="CW689" s="61"/>
      <c r="CX689" s="61"/>
      <c r="CY689" s="61"/>
      <c r="CZ689" s="61"/>
      <c r="DA689" s="61"/>
      <c r="DB689" s="61"/>
      <c r="DC689" s="61"/>
      <c r="DD689" s="61"/>
      <c r="DE689" s="61"/>
      <c r="DF689" s="61"/>
      <c r="DG689" s="61"/>
      <c r="DH689" s="61"/>
      <c r="DI689" s="61"/>
      <c r="DJ689" s="61"/>
      <c r="DK689" s="61"/>
    </row>
    <row r="690" spans="1:115" ht="21" customHeight="1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108"/>
      <c r="N690" s="108"/>
      <c r="O690" s="108"/>
      <c r="P690" s="108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  <c r="CD690" s="61"/>
      <c r="CE690" s="61"/>
      <c r="CF690" s="61"/>
      <c r="CG690" s="61"/>
      <c r="CH690" s="61"/>
      <c r="CI690" s="61"/>
      <c r="CJ690" s="61"/>
      <c r="CK690" s="61"/>
      <c r="CL690" s="61"/>
      <c r="CM690" s="61"/>
      <c r="CN690" s="61"/>
      <c r="CO690" s="61"/>
      <c r="CP690" s="61"/>
      <c r="CQ690" s="61"/>
      <c r="CR690" s="61"/>
      <c r="CS690" s="61"/>
      <c r="CT690" s="61"/>
      <c r="CU690" s="61"/>
      <c r="CV690" s="61"/>
      <c r="CW690" s="61"/>
      <c r="CX690" s="61"/>
      <c r="CY690" s="61"/>
      <c r="CZ690" s="61"/>
      <c r="DA690" s="61"/>
      <c r="DB690" s="61"/>
      <c r="DC690" s="61"/>
      <c r="DD690" s="61"/>
      <c r="DE690" s="61"/>
      <c r="DF690" s="61"/>
      <c r="DG690" s="61"/>
      <c r="DH690" s="61"/>
      <c r="DI690" s="61"/>
      <c r="DJ690" s="61"/>
      <c r="DK690" s="61"/>
    </row>
    <row r="691" spans="1:115" ht="21" customHeight="1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108"/>
      <c r="N691" s="108"/>
      <c r="O691" s="108"/>
      <c r="P691" s="108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  <c r="CD691" s="61"/>
      <c r="CE691" s="61"/>
      <c r="CF691" s="61"/>
      <c r="CG691" s="61"/>
      <c r="CH691" s="61"/>
      <c r="CI691" s="61"/>
      <c r="CJ691" s="61"/>
      <c r="CK691" s="61"/>
      <c r="CL691" s="61"/>
      <c r="CM691" s="61"/>
      <c r="CN691" s="61"/>
      <c r="CO691" s="61"/>
      <c r="CP691" s="61"/>
      <c r="CQ691" s="61"/>
      <c r="CR691" s="61"/>
      <c r="CS691" s="61"/>
      <c r="CT691" s="61"/>
      <c r="CU691" s="61"/>
      <c r="CV691" s="61"/>
      <c r="CW691" s="61"/>
      <c r="CX691" s="61"/>
      <c r="CY691" s="61"/>
      <c r="CZ691" s="61"/>
      <c r="DA691" s="61"/>
      <c r="DB691" s="61"/>
      <c r="DC691" s="61"/>
      <c r="DD691" s="61"/>
      <c r="DE691" s="61"/>
      <c r="DF691" s="61"/>
      <c r="DG691" s="61"/>
      <c r="DH691" s="61"/>
      <c r="DI691" s="61"/>
      <c r="DJ691" s="61"/>
      <c r="DK691" s="61"/>
    </row>
    <row r="692" spans="1:115" ht="21" customHeight="1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108"/>
      <c r="N692" s="108"/>
      <c r="O692" s="108"/>
      <c r="P692" s="108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  <c r="CD692" s="61"/>
      <c r="CE692" s="61"/>
      <c r="CF692" s="61"/>
      <c r="CG692" s="61"/>
      <c r="CH692" s="61"/>
      <c r="CI692" s="61"/>
      <c r="CJ692" s="61"/>
      <c r="CK692" s="61"/>
      <c r="CL692" s="61"/>
      <c r="CM692" s="61"/>
      <c r="CN692" s="61"/>
      <c r="CO692" s="61"/>
      <c r="CP692" s="61"/>
      <c r="CQ692" s="61"/>
      <c r="CR692" s="61"/>
      <c r="CS692" s="61"/>
      <c r="CT692" s="61"/>
      <c r="CU692" s="61"/>
      <c r="CV692" s="61"/>
      <c r="CW692" s="61"/>
      <c r="CX692" s="61"/>
      <c r="CY692" s="61"/>
      <c r="CZ692" s="61"/>
      <c r="DA692" s="61"/>
      <c r="DB692" s="61"/>
      <c r="DC692" s="61"/>
      <c r="DD692" s="61"/>
      <c r="DE692" s="61"/>
      <c r="DF692" s="61"/>
      <c r="DG692" s="61"/>
      <c r="DH692" s="61"/>
      <c r="DI692" s="61"/>
      <c r="DJ692" s="61"/>
      <c r="DK692" s="61"/>
    </row>
    <row r="693" spans="1:115" ht="21" customHeight="1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108"/>
      <c r="N693" s="108"/>
      <c r="O693" s="108"/>
      <c r="P693" s="108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  <c r="CD693" s="61"/>
      <c r="CE693" s="61"/>
      <c r="CF693" s="61"/>
      <c r="CG693" s="61"/>
      <c r="CH693" s="61"/>
      <c r="CI693" s="61"/>
      <c r="CJ693" s="61"/>
      <c r="CK693" s="61"/>
      <c r="CL693" s="61"/>
      <c r="CM693" s="61"/>
      <c r="CN693" s="61"/>
      <c r="CO693" s="61"/>
      <c r="CP693" s="61"/>
      <c r="CQ693" s="61"/>
      <c r="CR693" s="61"/>
      <c r="CS693" s="61"/>
      <c r="CT693" s="61"/>
      <c r="CU693" s="61"/>
      <c r="CV693" s="61"/>
      <c r="CW693" s="61"/>
      <c r="CX693" s="61"/>
      <c r="CY693" s="61"/>
      <c r="CZ693" s="61"/>
      <c r="DA693" s="61"/>
      <c r="DB693" s="61"/>
      <c r="DC693" s="61"/>
      <c r="DD693" s="61"/>
      <c r="DE693" s="61"/>
      <c r="DF693" s="61"/>
      <c r="DG693" s="61"/>
      <c r="DH693" s="61"/>
      <c r="DI693" s="61"/>
      <c r="DJ693" s="61"/>
      <c r="DK693" s="61"/>
    </row>
    <row r="694" spans="1:115" ht="21" customHeight="1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108"/>
      <c r="N694" s="108"/>
      <c r="O694" s="108"/>
      <c r="P694" s="108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  <c r="CD694" s="61"/>
      <c r="CE694" s="61"/>
      <c r="CF694" s="61"/>
      <c r="CG694" s="61"/>
      <c r="CH694" s="61"/>
      <c r="CI694" s="61"/>
      <c r="CJ694" s="61"/>
      <c r="CK694" s="61"/>
      <c r="CL694" s="61"/>
      <c r="CM694" s="61"/>
      <c r="CN694" s="61"/>
      <c r="CO694" s="61"/>
      <c r="CP694" s="61"/>
      <c r="CQ694" s="61"/>
      <c r="CR694" s="61"/>
      <c r="CS694" s="61"/>
      <c r="CT694" s="61"/>
      <c r="CU694" s="61"/>
      <c r="CV694" s="61"/>
      <c r="CW694" s="61"/>
      <c r="CX694" s="61"/>
      <c r="CY694" s="61"/>
      <c r="CZ694" s="61"/>
      <c r="DA694" s="61"/>
      <c r="DB694" s="61"/>
      <c r="DC694" s="61"/>
      <c r="DD694" s="61"/>
      <c r="DE694" s="61"/>
      <c r="DF694" s="61"/>
      <c r="DG694" s="61"/>
      <c r="DH694" s="61"/>
      <c r="DI694" s="61"/>
      <c r="DJ694" s="61"/>
      <c r="DK694" s="61"/>
    </row>
    <row r="695" spans="1:115" ht="21" customHeight="1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108"/>
      <c r="N695" s="108"/>
      <c r="O695" s="108"/>
      <c r="P695" s="108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  <c r="CN695" s="61"/>
      <c r="CO695" s="61"/>
      <c r="CP695" s="61"/>
      <c r="CQ695" s="61"/>
      <c r="CR695" s="61"/>
      <c r="CS695" s="61"/>
      <c r="CT695" s="61"/>
      <c r="CU695" s="61"/>
      <c r="CV695" s="61"/>
      <c r="CW695" s="61"/>
      <c r="CX695" s="61"/>
      <c r="CY695" s="61"/>
      <c r="CZ695" s="61"/>
      <c r="DA695" s="61"/>
      <c r="DB695" s="61"/>
      <c r="DC695" s="61"/>
      <c r="DD695" s="61"/>
      <c r="DE695" s="61"/>
      <c r="DF695" s="61"/>
      <c r="DG695" s="61"/>
      <c r="DH695" s="61"/>
      <c r="DI695" s="61"/>
      <c r="DJ695" s="61"/>
      <c r="DK695" s="61"/>
    </row>
    <row r="696" spans="1:115" ht="21" customHeight="1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108"/>
      <c r="N696" s="108"/>
      <c r="O696" s="108"/>
      <c r="P696" s="108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  <c r="CN696" s="61"/>
      <c r="CO696" s="61"/>
      <c r="CP696" s="61"/>
      <c r="CQ696" s="61"/>
      <c r="CR696" s="61"/>
      <c r="CS696" s="61"/>
      <c r="CT696" s="61"/>
      <c r="CU696" s="61"/>
      <c r="CV696" s="61"/>
      <c r="CW696" s="61"/>
      <c r="CX696" s="61"/>
      <c r="CY696" s="61"/>
      <c r="CZ696" s="61"/>
      <c r="DA696" s="61"/>
      <c r="DB696" s="61"/>
      <c r="DC696" s="61"/>
      <c r="DD696" s="61"/>
      <c r="DE696" s="61"/>
      <c r="DF696" s="61"/>
      <c r="DG696" s="61"/>
      <c r="DH696" s="61"/>
      <c r="DI696" s="61"/>
      <c r="DJ696" s="61"/>
      <c r="DK696" s="61"/>
    </row>
    <row r="697" spans="1:115" ht="21" customHeight="1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108"/>
      <c r="N697" s="108"/>
      <c r="O697" s="108"/>
      <c r="P697" s="108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  <c r="CD697" s="61"/>
      <c r="CE697" s="61"/>
      <c r="CF697" s="61"/>
      <c r="CG697" s="61"/>
      <c r="CH697" s="61"/>
      <c r="CI697" s="61"/>
      <c r="CJ697" s="61"/>
      <c r="CK697" s="61"/>
      <c r="CL697" s="61"/>
      <c r="CM697" s="61"/>
      <c r="CN697" s="61"/>
      <c r="CO697" s="61"/>
      <c r="CP697" s="61"/>
      <c r="CQ697" s="61"/>
      <c r="CR697" s="61"/>
      <c r="CS697" s="61"/>
      <c r="CT697" s="61"/>
      <c r="CU697" s="61"/>
      <c r="CV697" s="61"/>
      <c r="CW697" s="61"/>
      <c r="CX697" s="61"/>
      <c r="CY697" s="61"/>
      <c r="CZ697" s="61"/>
      <c r="DA697" s="61"/>
      <c r="DB697" s="61"/>
      <c r="DC697" s="61"/>
      <c r="DD697" s="61"/>
      <c r="DE697" s="61"/>
      <c r="DF697" s="61"/>
      <c r="DG697" s="61"/>
      <c r="DH697" s="61"/>
      <c r="DI697" s="61"/>
      <c r="DJ697" s="61"/>
      <c r="DK697" s="61"/>
    </row>
    <row r="698" spans="1:115" ht="21" customHeight="1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108"/>
      <c r="N698" s="108"/>
      <c r="O698" s="108"/>
      <c r="P698" s="108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  <c r="CD698" s="61"/>
      <c r="CE698" s="61"/>
      <c r="CF698" s="61"/>
      <c r="CG698" s="61"/>
      <c r="CH698" s="61"/>
      <c r="CI698" s="61"/>
      <c r="CJ698" s="61"/>
      <c r="CK698" s="61"/>
      <c r="CL698" s="61"/>
      <c r="CM698" s="61"/>
      <c r="CN698" s="61"/>
      <c r="CO698" s="61"/>
      <c r="CP698" s="61"/>
      <c r="CQ698" s="61"/>
      <c r="CR698" s="61"/>
      <c r="CS698" s="61"/>
      <c r="CT698" s="61"/>
      <c r="CU698" s="61"/>
      <c r="CV698" s="61"/>
      <c r="CW698" s="61"/>
      <c r="CX698" s="61"/>
      <c r="CY698" s="61"/>
      <c r="CZ698" s="61"/>
      <c r="DA698" s="61"/>
      <c r="DB698" s="61"/>
      <c r="DC698" s="61"/>
      <c r="DD698" s="61"/>
      <c r="DE698" s="61"/>
      <c r="DF698" s="61"/>
      <c r="DG698" s="61"/>
      <c r="DH698" s="61"/>
      <c r="DI698" s="61"/>
      <c r="DJ698" s="61"/>
      <c r="DK698" s="61"/>
    </row>
    <row r="699" spans="1:115" ht="21" customHeight="1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108"/>
      <c r="N699" s="108"/>
      <c r="O699" s="108"/>
      <c r="P699" s="108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  <c r="CN699" s="61"/>
      <c r="CO699" s="61"/>
      <c r="CP699" s="61"/>
      <c r="CQ699" s="61"/>
      <c r="CR699" s="61"/>
      <c r="CS699" s="61"/>
      <c r="CT699" s="61"/>
      <c r="CU699" s="61"/>
      <c r="CV699" s="61"/>
      <c r="CW699" s="61"/>
      <c r="CX699" s="61"/>
      <c r="CY699" s="61"/>
      <c r="CZ699" s="61"/>
      <c r="DA699" s="61"/>
      <c r="DB699" s="61"/>
      <c r="DC699" s="61"/>
      <c r="DD699" s="61"/>
      <c r="DE699" s="61"/>
      <c r="DF699" s="61"/>
      <c r="DG699" s="61"/>
      <c r="DH699" s="61"/>
      <c r="DI699" s="61"/>
      <c r="DJ699" s="61"/>
      <c r="DK699" s="61"/>
    </row>
    <row r="700" spans="1:115" ht="21" customHeight="1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108"/>
      <c r="N700" s="108"/>
      <c r="O700" s="108"/>
      <c r="P700" s="108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  <c r="CN700" s="61"/>
      <c r="CO700" s="61"/>
      <c r="CP700" s="61"/>
      <c r="CQ700" s="61"/>
      <c r="CR700" s="61"/>
      <c r="CS700" s="61"/>
      <c r="CT700" s="61"/>
      <c r="CU700" s="61"/>
      <c r="CV700" s="61"/>
      <c r="CW700" s="61"/>
      <c r="CX700" s="61"/>
      <c r="CY700" s="61"/>
      <c r="CZ700" s="61"/>
      <c r="DA700" s="61"/>
      <c r="DB700" s="61"/>
      <c r="DC700" s="61"/>
      <c r="DD700" s="61"/>
      <c r="DE700" s="61"/>
      <c r="DF700" s="61"/>
      <c r="DG700" s="61"/>
      <c r="DH700" s="61"/>
      <c r="DI700" s="61"/>
      <c r="DJ700" s="61"/>
      <c r="DK700" s="61"/>
    </row>
    <row r="701" spans="1:115" ht="21" customHeight="1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108"/>
      <c r="N701" s="108"/>
      <c r="O701" s="108"/>
      <c r="P701" s="108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  <c r="CN701" s="61"/>
      <c r="CO701" s="61"/>
      <c r="CP701" s="61"/>
      <c r="CQ701" s="61"/>
      <c r="CR701" s="61"/>
      <c r="CS701" s="61"/>
      <c r="CT701" s="61"/>
      <c r="CU701" s="61"/>
      <c r="CV701" s="61"/>
      <c r="CW701" s="61"/>
      <c r="CX701" s="61"/>
      <c r="CY701" s="61"/>
      <c r="CZ701" s="61"/>
      <c r="DA701" s="61"/>
      <c r="DB701" s="61"/>
      <c r="DC701" s="61"/>
      <c r="DD701" s="61"/>
      <c r="DE701" s="61"/>
      <c r="DF701" s="61"/>
      <c r="DG701" s="61"/>
      <c r="DH701" s="61"/>
      <c r="DI701" s="61"/>
      <c r="DJ701" s="61"/>
      <c r="DK701" s="61"/>
    </row>
    <row r="702" spans="1:115" ht="21" customHeight="1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108"/>
      <c r="N702" s="108"/>
      <c r="O702" s="108"/>
      <c r="P702" s="108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  <c r="CD702" s="61"/>
      <c r="CE702" s="61"/>
      <c r="CF702" s="61"/>
      <c r="CG702" s="61"/>
      <c r="CH702" s="61"/>
      <c r="CI702" s="61"/>
      <c r="CJ702" s="61"/>
      <c r="CK702" s="61"/>
      <c r="CL702" s="61"/>
      <c r="CM702" s="61"/>
      <c r="CN702" s="61"/>
      <c r="CO702" s="61"/>
      <c r="CP702" s="61"/>
      <c r="CQ702" s="61"/>
      <c r="CR702" s="61"/>
      <c r="CS702" s="61"/>
      <c r="CT702" s="61"/>
      <c r="CU702" s="61"/>
      <c r="CV702" s="61"/>
      <c r="CW702" s="61"/>
      <c r="CX702" s="61"/>
      <c r="CY702" s="61"/>
      <c r="CZ702" s="61"/>
      <c r="DA702" s="61"/>
      <c r="DB702" s="61"/>
      <c r="DC702" s="61"/>
      <c r="DD702" s="61"/>
      <c r="DE702" s="61"/>
      <c r="DF702" s="61"/>
      <c r="DG702" s="61"/>
      <c r="DH702" s="61"/>
      <c r="DI702" s="61"/>
      <c r="DJ702" s="61"/>
      <c r="DK702" s="61"/>
    </row>
    <row r="703" spans="1:115" ht="21" customHeight="1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108"/>
      <c r="N703" s="108"/>
      <c r="O703" s="108"/>
      <c r="P703" s="108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  <c r="CD703" s="61"/>
      <c r="CE703" s="61"/>
      <c r="CF703" s="61"/>
      <c r="CG703" s="61"/>
      <c r="CH703" s="61"/>
      <c r="CI703" s="61"/>
      <c r="CJ703" s="61"/>
      <c r="CK703" s="61"/>
      <c r="CL703" s="61"/>
      <c r="CM703" s="61"/>
      <c r="CN703" s="61"/>
      <c r="CO703" s="61"/>
      <c r="CP703" s="61"/>
      <c r="CQ703" s="61"/>
      <c r="CR703" s="61"/>
      <c r="CS703" s="61"/>
      <c r="CT703" s="61"/>
      <c r="CU703" s="61"/>
      <c r="CV703" s="61"/>
      <c r="CW703" s="61"/>
      <c r="CX703" s="61"/>
      <c r="CY703" s="61"/>
      <c r="CZ703" s="61"/>
      <c r="DA703" s="61"/>
      <c r="DB703" s="61"/>
      <c r="DC703" s="61"/>
      <c r="DD703" s="61"/>
      <c r="DE703" s="61"/>
      <c r="DF703" s="61"/>
      <c r="DG703" s="61"/>
      <c r="DH703" s="61"/>
      <c r="DI703" s="61"/>
      <c r="DJ703" s="61"/>
      <c r="DK703" s="61"/>
    </row>
    <row r="704" spans="1:115" ht="21" customHeight="1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108"/>
      <c r="N704" s="108"/>
      <c r="O704" s="108"/>
      <c r="P704" s="108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  <c r="CD704" s="61"/>
      <c r="CE704" s="61"/>
      <c r="CF704" s="61"/>
      <c r="CG704" s="61"/>
      <c r="CH704" s="61"/>
      <c r="CI704" s="61"/>
      <c r="CJ704" s="61"/>
      <c r="CK704" s="61"/>
      <c r="CL704" s="61"/>
      <c r="CM704" s="61"/>
      <c r="CN704" s="61"/>
      <c r="CO704" s="61"/>
      <c r="CP704" s="61"/>
      <c r="CQ704" s="61"/>
      <c r="CR704" s="61"/>
      <c r="CS704" s="61"/>
      <c r="CT704" s="61"/>
      <c r="CU704" s="61"/>
      <c r="CV704" s="61"/>
      <c r="CW704" s="61"/>
      <c r="CX704" s="61"/>
      <c r="CY704" s="61"/>
      <c r="CZ704" s="61"/>
      <c r="DA704" s="61"/>
      <c r="DB704" s="61"/>
      <c r="DC704" s="61"/>
      <c r="DD704" s="61"/>
      <c r="DE704" s="61"/>
      <c r="DF704" s="61"/>
      <c r="DG704" s="61"/>
      <c r="DH704" s="61"/>
      <c r="DI704" s="61"/>
      <c r="DJ704" s="61"/>
      <c r="DK704" s="61"/>
    </row>
    <row r="705" spans="1:115" ht="21" customHeight="1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108"/>
      <c r="N705" s="108"/>
      <c r="O705" s="108"/>
      <c r="P705" s="108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  <c r="CD705" s="61"/>
      <c r="CE705" s="61"/>
      <c r="CF705" s="61"/>
      <c r="CG705" s="61"/>
      <c r="CH705" s="61"/>
      <c r="CI705" s="61"/>
      <c r="CJ705" s="61"/>
      <c r="CK705" s="61"/>
      <c r="CL705" s="61"/>
      <c r="CM705" s="61"/>
      <c r="CN705" s="61"/>
      <c r="CO705" s="61"/>
      <c r="CP705" s="61"/>
      <c r="CQ705" s="61"/>
      <c r="CR705" s="61"/>
      <c r="CS705" s="61"/>
      <c r="CT705" s="61"/>
      <c r="CU705" s="61"/>
      <c r="CV705" s="61"/>
      <c r="CW705" s="61"/>
      <c r="CX705" s="61"/>
      <c r="CY705" s="61"/>
      <c r="CZ705" s="61"/>
      <c r="DA705" s="61"/>
      <c r="DB705" s="61"/>
      <c r="DC705" s="61"/>
      <c r="DD705" s="61"/>
      <c r="DE705" s="61"/>
      <c r="DF705" s="61"/>
      <c r="DG705" s="61"/>
      <c r="DH705" s="61"/>
      <c r="DI705" s="61"/>
      <c r="DJ705" s="61"/>
      <c r="DK705" s="61"/>
    </row>
    <row r="706" spans="1:115" ht="21" customHeight="1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108"/>
      <c r="N706" s="108"/>
      <c r="O706" s="108"/>
      <c r="P706" s="108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  <c r="CD706" s="61"/>
      <c r="CE706" s="61"/>
      <c r="CF706" s="61"/>
      <c r="CG706" s="61"/>
      <c r="CH706" s="61"/>
      <c r="CI706" s="61"/>
      <c r="CJ706" s="61"/>
      <c r="CK706" s="61"/>
      <c r="CL706" s="61"/>
      <c r="CM706" s="61"/>
      <c r="CN706" s="61"/>
      <c r="CO706" s="61"/>
      <c r="CP706" s="61"/>
      <c r="CQ706" s="61"/>
      <c r="CR706" s="61"/>
      <c r="CS706" s="61"/>
      <c r="CT706" s="61"/>
      <c r="CU706" s="61"/>
      <c r="CV706" s="61"/>
      <c r="CW706" s="61"/>
      <c r="CX706" s="61"/>
      <c r="CY706" s="61"/>
      <c r="CZ706" s="61"/>
      <c r="DA706" s="61"/>
      <c r="DB706" s="61"/>
      <c r="DC706" s="61"/>
      <c r="DD706" s="61"/>
      <c r="DE706" s="61"/>
      <c r="DF706" s="61"/>
      <c r="DG706" s="61"/>
      <c r="DH706" s="61"/>
      <c r="DI706" s="61"/>
      <c r="DJ706" s="61"/>
      <c r="DK706" s="61"/>
    </row>
    <row r="707" spans="1:115" ht="21" customHeight="1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108"/>
      <c r="N707" s="108"/>
      <c r="O707" s="108"/>
      <c r="P707" s="108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  <c r="CD707" s="61"/>
      <c r="CE707" s="61"/>
      <c r="CF707" s="61"/>
      <c r="CG707" s="61"/>
      <c r="CH707" s="61"/>
      <c r="CI707" s="61"/>
      <c r="CJ707" s="61"/>
      <c r="CK707" s="61"/>
      <c r="CL707" s="61"/>
      <c r="CM707" s="61"/>
      <c r="CN707" s="61"/>
      <c r="CO707" s="61"/>
      <c r="CP707" s="61"/>
      <c r="CQ707" s="61"/>
      <c r="CR707" s="61"/>
      <c r="CS707" s="61"/>
      <c r="CT707" s="61"/>
      <c r="CU707" s="61"/>
      <c r="CV707" s="61"/>
      <c r="CW707" s="61"/>
      <c r="CX707" s="61"/>
      <c r="CY707" s="61"/>
      <c r="CZ707" s="61"/>
      <c r="DA707" s="61"/>
      <c r="DB707" s="61"/>
      <c r="DC707" s="61"/>
      <c r="DD707" s="61"/>
      <c r="DE707" s="61"/>
      <c r="DF707" s="61"/>
      <c r="DG707" s="61"/>
      <c r="DH707" s="61"/>
      <c r="DI707" s="61"/>
      <c r="DJ707" s="61"/>
      <c r="DK707" s="61"/>
    </row>
    <row r="708" spans="1:115" ht="21" customHeight="1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108"/>
      <c r="N708" s="108"/>
      <c r="O708" s="108"/>
      <c r="P708" s="108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  <c r="CD708" s="61"/>
      <c r="CE708" s="61"/>
      <c r="CF708" s="61"/>
      <c r="CG708" s="61"/>
      <c r="CH708" s="61"/>
      <c r="CI708" s="61"/>
      <c r="CJ708" s="61"/>
      <c r="CK708" s="61"/>
      <c r="CL708" s="61"/>
      <c r="CM708" s="61"/>
      <c r="CN708" s="61"/>
      <c r="CO708" s="61"/>
      <c r="CP708" s="61"/>
      <c r="CQ708" s="61"/>
      <c r="CR708" s="61"/>
      <c r="CS708" s="61"/>
      <c r="CT708" s="61"/>
      <c r="CU708" s="61"/>
      <c r="CV708" s="61"/>
      <c r="CW708" s="61"/>
      <c r="CX708" s="61"/>
      <c r="CY708" s="61"/>
      <c r="CZ708" s="61"/>
      <c r="DA708" s="61"/>
      <c r="DB708" s="61"/>
      <c r="DC708" s="61"/>
      <c r="DD708" s="61"/>
      <c r="DE708" s="61"/>
      <c r="DF708" s="61"/>
      <c r="DG708" s="61"/>
      <c r="DH708" s="61"/>
      <c r="DI708" s="61"/>
      <c r="DJ708" s="61"/>
      <c r="DK708" s="61"/>
    </row>
    <row r="709" spans="1:115" ht="21" customHeight="1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108"/>
      <c r="N709" s="108"/>
      <c r="O709" s="108"/>
      <c r="P709" s="108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  <c r="CD709" s="61"/>
      <c r="CE709" s="61"/>
      <c r="CF709" s="61"/>
      <c r="CG709" s="61"/>
      <c r="CH709" s="61"/>
      <c r="CI709" s="61"/>
      <c r="CJ709" s="61"/>
      <c r="CK709" s="61"/>
      <c r="CL709" s="61"/>
      <c r="CM709" s="61"/>
      <c r="CN709" s="61"/>
      <c r="CO709" s="61"/>
      <c r="CP709" s="61"/>
      <c r="CQ709" s="61"/>
      <c r="CR709" s="61"/>
      <c r="CS709" s="61"/>
      <c r="CT709" s="61"/>
      <c r="CU709" s="61"/>
      <c r="CV709" s="61"/>
      <c r="CW709" s="61"/>
      <c r="CX709" s="61"/>
      <c r="CY709" s="61"/>
      <c r="CZ709" s="61"/>
      <c r="DA709" s="61"/>
      <c r="DB709" s="61"/>
      <c r="DC709" s="61"/>
      <c r="DD709" s="61"/>
      <c r="DE709" s="61"/>
      <c r="DF709" s="61"/>
      <c r="DG709" s="61"/>
      <c r="DH709" s="61"/>
      <c r="DI709" s="61"/>
      <c r="DJ709" s="61"/>
      <c r="DK709" s="61"/>
    </row>
    <row r="710" spans="1:115" ht="21" customHeight="1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108"/>
      <c r="N710" s="108"/>
      <c r="O710" s="108"/>
      <c r="P710" s="108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  <c r="CD710" s="61"/>
      <c r="CE710" s="61"/>
      <c r="CF710" s="61"/>
      <c r="CG710" s="61"/>
      <c r="CH710" s="61"/>
      <c r="CI710" s="61"/>
      <c r="CJ710" s="61"/>
      <c r="CK710" s="61"/>
      <c r="CL710" s="61"/>
      <c r="CM710" s="61"/>
      <c r="CN710" s="61"/>
      <c r="CO710" s="61"/>
      <c r="CP710" s="61"/>
      <c r="CQ710" s="61"/>
      <c r="CR710" s="61"/>
      <c r="CS710" s="61"/>
      <c r="CT710" s="61"/>
      <c r="CU710" s="61"/>
      <c r="CV710" s="61"/>
      <c r="CW710" s="61"/>
      <c r="CX710" s="61"/>
      <c r="CY710" s="61"/>
      <c r="CZ710" s="61"/>
      <c r="DA710" s="61"/>
      <c r="DB710" s="61"/>
      <c r="DC710" s="61"/>
      <c r="DD710" s="61"/>
      <c r="DE710" s="61"/>
      <c r="DF710" s="61"/>
      <c r="DG710" s="61"/>
      <c r="DH710" s="61"/>
      <c r="DI710" s="61"/>
      <c r="DJ710" s="61"/>
      <c r="DK710" s="61"/>
    </row>
    <row r="711" spans="1:115" ht="21" customHeight="1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108"/>
      <c r="N711" s="108"/>
      <c r="O711" s="108"/>
      <c r="P711" s="108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  <c r="CD711" s="61"/>
      <c r="CE711" s="61"/>
      <c r="CF711" s="61"/>
      <c r="CG711" s="61"/>
      <c r="CH711" s="61"/>
      <c r="CI711" s="61"/>
      <c r="CJ711" s="61"/>
      <c r="CK711" s="61"/>
      <c r="CL711" s="61"/>
      <c r="CM711" s="61"/>
      <c r="CN711" s="61"/>
      <c r="CO711" s="61"/>
      <c r="CP711" s="61"/>
      <c r="CQ711" s="61"/>
      <c r="CR711" s="61"/>
      <c r="CS711" s="61"/>
      <c r="CT711" s="61"/>
      <c r="CU711" s="61"/>
      <c r="CV711" s="61"/>
      <c r="CW711" s="61"/>
      <c r="CX711" s="61"/>
      <c r="CY711" s="61"/>
      <c r="CZ711" s="61"/>
      <c r="DA711" s="61"/>
      <c r="DB711" s="61"/>
      <c r="DC711" s="61"/>
      <c r="DD711" s="61"/>
      <c r="DE711" s="61"/>
      <c r="DF711" s="61"/>
      <c r="DG711" s="61"/>
      <c r="DH711" s="61"/>
      <c r="DI711" s="61"/>
      <c r="DJ711" s="61"/>
      <c r="DK711" s="61"/>
    </row>
    <row r="712" spans="1:115" ht="21" customHeight="1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108"/>
      <c r="N712" s="108"/>
      <c r="O712" s="108"/>
      <c r="P712" s="108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  <c r="CD712" s="61"/>
      <c r="CE712" s="61"/>
      <c r="CF712" s="61"/>
      <c r="CG712" s="61"/>
      <c r="CH712" s="61"/>
      <c r="CI712" s="61"/>
      <c r="CJ712" s="61"/>
      <c r="CK712" s="61"/>
      <c r="CL712" s="61"/>
      <c r="CM712" s="61"/>
      <c r="CN712" s="61"/>
      <c r="CO712" s="61"/>
      <c r="CP712" s="61"/>
      <c r="CQ712" s="61"/>
      <c r="CR712" s="61"/>
      <c r="CS712" s="61"/>
      <c r="CT712" s="61"/>
      <c r="CU712" s="61"/>
      <c r="CV712" s="61"/>
      <c r="CW712" s="61"/>
      <c r="CX712" s="61"/>
      <c r="CY712" s="61"/>
      <c r="CZ712" s="61"/>
      <c r="DA712" s="61"/>
      <c r="DB712" s="61"/>
      <c r="DC712" s="61"/>
      <c r="DD712" s="61"/>
      <c r="DE712" s="61"/>
      <c r="DF712" s="61"/>
      <c r="DG712" s="61"/>
      <c r="DH712" s="61"/>
      <c r="DI712" s="61"/>
      <c r="DJ712" s="61"/>
      <c r="DK712" s="61"/>
    </row>
    <row r="713" spans="1:115" ht="21" customHeight="1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108"/>
      <c r="N713" s="108"/>
      <c r="O713" s="108"/>
      <c r="P713" s="108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  <c r="CD713" s="61"/>
      <c r="CE713" s="61"/>
      <c r="CF713" s="61"/>
      <c r="CG713" s="61"/>
      <c r="CH713" s="61"/>
      <c r="CI713" s="61"/>
      <c r="CJ713" s="61"/>
      <c r="CK713" s="61"/>
      <c r="CL713" s="61"/>
      <c r="CM713" s="61"/>
      <c r="CN713" s="61"/>
      <c r="CO713" s="61"/>
      <c r="CP713" s="61"/>
      <c r="CQ713" s="61"/>
      <c r="CR713" s="61"/>
      <c r="CS713" s="61"/>
      <c r="CT713" s="61"/>
      <c r="CU713" s="61"/>
      <c r="CV713" s="61"/>
      <c r="CW713" s="61"/>
      <c r="CX713" s="61"/>
      <c r="CY713" s="61"/>
      <c r="CZ713" s="61"/>
      <c r="DA713" s="61"/>
      <c r="DB713" s="61"/>
      <c r="DC713" s="61"/>
      <c r="DD713" s="61"/>
      <c r="DE713" s="61"/>
      <c r="DF713" s="61"/>
      <c r="DG713" s="61"/>
      <c r="DH713" s="61"/>
      <c r="DI713" s="61"/>
      <c r="DJ713" s="61"/>
      <c r="DK713" s="61"/>
    </row>
    <row r="714" spans="1:115" ht="21" customHeight="1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108"/>
      <c r="N714" s="108"/>
      <c r="O714" s="108"/>
      <c r="P714" s="108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  <c r="CD714" s="61"/>
      <c r="CE714" s="61"/>
      <c r="CF714" s="61"/>
      <c r="CG714" s="61"/>
      <c r="CH714" s="61"/>
      <c r="CI714" s="61"/>
      <c r="CJ714" s="61"/>
      <c r="CK714" s="61"/>
      <c r="CL714" s="61"/>
      <c r="CM714" s="61"/>
      <c r="CN714" s="61"/>
      <c r="CO714" s="61"/>
      <c r="CP714" s="61"/>
      <c r="CQ714" s="61"/>
      <c r="CR714" s="61"/>
      <c r="CS714" s="61"/>
      <c r="CT714" s="61"/>
      <c r="CU714" s="61"/>
      <c r="CV714" s="61"/>
      <c r="CW714" s="61"/>
      <c r="CX714" s="61"/>
      <c r="CY714" s="61"/>
      <c r="CZ714" s="61"/>
      <c r="DA714" s="61"/>
      <c r="DB714" s="61"/>
      <c r="DC714" s="61"/>
      <c r="DD714" s="61"/>
      <c r="DE714" s="61"/>
      <c r="DF714" s="61"/>
      <c r="DG714" s="61"/>
      <c r="DH714" s="61"/>
      <c r="DI714" s="61"/>
      <c r="DJ714" s="61"/>
      <c r="DK714" s="61"/>
    </row>
    <row r="715" spans="1:115" ht="21" customHeight="1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108"/>
      <c r="N715" s="108"/>
      <c r="O715" s="108"/>
      <c r="P715" s="108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  <c r="CD715" s="61"/>
      <c r="CE715" s="61"/>
      <c r="CF715" s="61"/>
      <c r="CG715" s="61"/>
      <c r="CH715" s="61"/>
      <c r="CI715" s="61"/>
      <c r="CJ715" s="61"/>
      <c r="CK715" s="61"/>
      <c r="CL715" s="61"/>
      <c r="CM715" s="61"/>
      <c r="CN715" s="61"/>
      <c r="CO715" s="61"/>
      <c r="CP715" s="61"/>
      <c r="CQ715" s="61"/>
      <c r="CR715" s="61"/>
      <c r="CS715" s="61"/>
      <c r="CT715" s="61"/>
      <c r="CU715" s="61"/>
      <c r="CV715" s="61"/>
      <c r="CW715" s="61"/>
      <c r="CX715" s="61"/>
      <c r="CY715" s="61"/>
      <c r="CZ715" s="61"/>
      <c r="DA715" s="61"/>
      <c r="DB715" s="61"/>
      <c r="DC715" s="61"/>
      <c r="DD715" s="61"/>
      <c r="DE715" s="61"/>
      <c r="DF715" s="61"/>
      <c r="DG715" s="61"/>
      <c r="DH715" s="61"/>
      <c r="DI715" s="61"/>
      <c r="DJ715" s="61"/>
      <c r="DK715" s="61"/>
    </row>
    <row r="716" spans="1:115" ht="21" customHeight="1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108"/>
      <c r="N716" s="108"/>
      <c r="O716" s="108"/>
      <c r="P716" s="108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  <c r="CD716" s="61"/>
      <c r="CE716" s="61"/>
      <c r="CF716" s="61"/>
      <c r="CG716" s="61"/>
      <c r="CH716" s="61"/>
      <c r="CI716" s="61"/>
      <c r="CJ716" s="61"/>
      <c r="CK716" s="61"/>
      <c r="CL716" s="61"/>
      <c r="CM716" s="61"/>
      <c r="CN716" s="61"/>
      <c r="CO716" s="61"/>
      <c r="CP716" s="61"/>
      <c r="CQ716" s="61"/>
      <c r="CR716" s="61"/>
      <c r="CS716" s="61"/>
      <c r="CT716" s="61"/>
      <c r="CU716" s="61"/>
      <c r="CV716" s="61"/>
      <c r="CW716" s="61"/>
      <c r="CX716" s="61"/>
      <c r="CY716" s="61"/>
      <c r="CZ716" s="61"/>
      <c r="DA716" s="61"/>
      <c r="DB716" s="61"/>
      <c r="DC716" s="61"/>
      <c r="DD716" s="61"/>
      <c r="DE716" s="61"/>
      <c r="DF716" s="61"/>
      <c r="DG716" s="61"/>
      <c r="DH716" s="61"/>
      <c r="DI716" s="61"/>
      <c r="DJ716" s="61"/>
      <c r="DK716" s="61"/>
    </row>
    <row r="717" spans="1:115" ht="21" customHeight="1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108"/>
      <c r="N717" s="108"/>
      <c r="O717" s="108"/>
      <c r="P717" s="108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  <c r="CM717" s="61"/>
      <c r="CN717" s="61"/>
      <c r="CO717" s="61"/>
      <c r="CP717" s="61"/>
      <c r="CQ717" s="61"/>
      <c r="CR717" s="61"/>
      <c r="CS717" s="61"/>
      <c r="CT717" s="61"/>
      <c r="CU717" s="61"/>
      <c r="CV717" s="61"/>
      <c r="CW717" s="61"/>
      <c r="CX717" s="61"/>
      <c r="CY717" s="61"/>
      <c r="CZ717" s="61"/>
      <c r="DA717" s="61"/>
      <c r="DB717" s="61"/>
      <c r="DC717" s="61"/>
      <c r="DD717" s="61"/>
      <c r="DE717" s="61"/>
      <c r="DF717" s="61"/>
      <c r="DG717" s="61"/>
      <c r="DH717" s="61"/>
      <c r="DI717" s="61"/>
      <c r="DJ717" s="61"/>
      <c r="DK717" s="61"/>
    </row>
    <row r="718" spans="1:115" ht="21" customHeight="1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108"/>
      <c r="N718" s="108"/>
      <c r="O718" s="108"/>
      <c r="P718" s="108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  <c r="CN718" s="61"/>
      <c r="CO718" s="61"/>
      <c r="CP718" s="61"/>
      <c r="CQ718" s="61"/>
      <c r="CR718" s="61"/>
      <c r="CS718" s="61"/>
      <c r="CT718" s="61"/>
      <c r="CU718" s="61"/>
      <c r="CV718" s="61"/>
      <c r="CW718" s="61"/>
      <c r="CX718" s="61"/>
      <c r="CY718" s="61"/>
      <c r="CZ718" s="61"/>
      <c r="DA718" s="61"/>
      <c r="DB718" s="61"/>
      <c r="DC718" s="61"/>
      <c r="DD718" s="61"/>
      <c r="DE718" s="61"/>
      <c r="DF718" s="61"/>
      <c r="DG718" s="61"/>
      <c r="DH718" s="61"/>
      <c r="DI718" s="61"/>
      <c r="DJ718" s="61"/>
      <c r="DK718" s="61"/>
    </row>
    <row r="719" spans="1:115" ht="21" customHeight="1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108"/>
      <c r="N719" s="108"/>
      <c r="O719" s="108"/>
      <c r="P719" s="108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  <c r="CN719" s="61"/>
      <c r="CO719" s="61"/>
      <c r="CP719" s="61"/>
      <c r="CQ719" s="61"/>
      <c r="CR719" s="61"/>
      <c r="CS719" s="61"/>
      <c r="CT719" s="61"/>
      <c r="CU719" s="61"/>
      <c r="CV719" s="61"/>
      <c r="CW719" s="61"/>
      <c r="CX719" s="61"/>
      <c r="CY719" s="61"/>
      <c r="CZ719" s="61"/>
      <c r="DA719" s="61"/>
      <c r="DB719" s="61"/>
      <c r="DC719" s="61"/>
      <c r="DD719" s="61"/>
      <c r="DE719" s="61"/>
      <c r="DF719" s="61"/>
      <c r="DG719" s="61"/>
      <c r="DH719" s="61"/>
      <c r="DI719" s="61"/>
      <c r="DJ719" s="61"/>
      <c r="DK719" s="61"/>
    </row>
    <row r="720" spans="1:115" ht="21" customHeight="1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108"/>
      <c r="N720" s="108"/>
      <c r="O720" s="108"/>
      <c r="P720" s="108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  <c r="CN720" s="61"/>
      <c r="CO720" s="61"/>
      <c r="CP720" s="61"/>
      <c r="CQ720" s="61"/>
      <c r="CR720" s="61"/>
      <c r="CS720" s="61"/>
      <c r="CT720" s="61"/>
      <c r="CU720" s="61"/>
      <c r="CV720" s="61"/>
      <c r="CW720" s="61"/>
      <c r="CX720" s="61"/>
      <c r="CY720" s="61"/>
      <c r="CZ720" s="61"/>
      <c r="DA720" s="61"/>
      <c r="DB720" s="61"/>
      <c r="DC720" s="61"/>
      <c r="DD720" s="61"/>
      <c r="DE720" s="61"/>
      <c r="DF720" s="61"/>
      <c r="DG720" s="61"/>
      <c r="DH720" s="61"/>
      <c r="DI720" s="61"/>
      <c r="DJ720" s="61"/>
      <c r="DK720" s="61"/>
    </row>
    <row r="721" spans="1:115" ht="21" customHeight="1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108"/>
      <c r="N721" s="108"/>
      <c r="O721" s="108"/>
      <c r="P721" s="108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  <c r="CD721" s="61"/>
      <c r="CE721" s="61"/>
      <c r="CF721" s="61"/>
      <c r="CG721" s="61"/>
      <c r="CH721" s="61"/>
      <c r="CI721" s="61"/>
      <c r="CJ721" s="61"/>
      <c r="CK721" s="61"/>
      <c r="CL721" s="61"/>
      <c r="CM721" s="61"/>
      <c r="CN721" s="61"/>
      <c r="CO721" s="61"/>
      <c r="CP721" s="61"/>
      <c r="CQ721" s="61"/>
      <c r="CR721" s="61"/>
      <c r="CS721" s="61"/>
      <c r="CT721" s="61"/>
      <c r="CU721" s="61"/>
      <c r="CV721" s="61"/>
      <c r="CW721" s="61"/>
      <c r="CX721" s="61"/>
      <c r="CY721" s="61"/>
      <c r="CZ721" s="61"/>
      <c r="DA721" s="61"/>
      <c r="DB721" s="61"/>
      <c r="DC721" s="61"/>
      <c r="DD721" s="61"/>
      <c r="DE721" s="61"/>
      <c r="DF721" s="61"/>
      <c r="DG721" s="61"/>
      <c r="DH721" s="61"/>
      <c r="DI721" s="61"/>
      <c r="DJ721" s="61"/>
      <c r="DK721" s="61"/>
    </row>
    <row r="722" spans="1:115" ht="21" customHeight="1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108"/>
      <c r="N722" s="108"/>
      <c r="O722" s="108"/>
      <c r="P722" s="108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  <c r="CD722" s="61"/>
      <c r="CE722" s="61"/>
      <c r="CF722" s="61"/>
      <c r="CG722" s="61"/>
      <c r="CH722" s="61"/>
      <c r="CI722" s="61"/>
      <c r="CJ722" s="61"/>
      <c r="CK722" s="61"/>
      <c r="CL722" s="61"/>
      <c r="CM722" s="61"/>
      <c r="CN722" s="61"/>
      <c r="CO722" s="61"/>
      <c r="CP722" s="61"/>
      <c r="CQ722" s="61"/>
      <c r="CR722" s="61"/>
      <c r="CS722" s="61"/>
      <c r="CT722" s="61"/>
      <c r="CU722" s="61"/>
      <c r="CV722" s="61"/>
      <c r="CW722" s="61"/>
      <c r="CX722" s="61"/>
      <c r="CY722" s="61"/>
      <c r="CZ722" s="61"/>
      <c r="DA722" s="61"/>
      <c r="DB722" s="61"/>
      <c r="DC722" s="61"/>
      <c r="DD722" s="61"/>
      <c r="DE722" s="61"/>
      <c r="DF722" s="61"/>
      <c r="DG722" s="61"/>
      <c r="DH722" s="61"/>
      <c r="DI722" s="61"/>
      <c r="DJ722" s="61"/>
      <c r="DK722" s="61"/>
    </row>
    <row r="723" spans="1:115" ht="21" customHeight="1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108"/>
      <c r="N723" s="108"/>
      <c r="O723" s="108"/>
      <c r="P723" s="108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  <c r="CN723" s="61"/>
      <c r="CO723" s="61"/>
      <c r="CP723" s="61"/>
      <c r="CQ723" s="61"/>
      <c r="CR723" s="61"/>
      <c r="CS723" s="61"/>
      <c r="CT723" s="61"/>
      <c r="CU723" s="61"/>
      <c r="CV723" s="61"/>
      <c r="CW723" s="61"/>
      <c r="CX723" s="61"/>
      <c r="CY723" s="61"/>
      <c r="CZ723" s="61"/>
      <c r="DA723" s="61"/>
      <c r="DB723" s="61"/>
      <c r="DC723" s="61"/>
      <c r="DD723" s="61"/>
      <c r="DE723" s="61"/>
      <c r="DF723" s="61"/>
      <c r="DG723" s="61"/>
      <c r="DH723" s="61"/>
      <c r="DI723" s="61"/>
      <c r="DJ723" s="61"/>
      <c r="DK723" s="61"/>
    </row>
    <row r="724" spans="1:115" ht="21" customHeight="1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108"/>
      <c r="N724" s="108"/>
      <c r="O724" s="108"/>
      <c r="P724" s="108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  <c r="CD724" s="61"/>
      <c r="CE724" s="61"/>
      <c r="CF724" s="61"/>
      <c r="CG724" s="61"/>
      <c r="CH724" s="61"/>
      <c r="CI724" s="61"/>
      <c r="CJ724" s="61"/>
      <c r="CK724" s="61"/>
      <c r="CL724" s="61"/>
      <c r="CM724" s="61"/>
      <c r="CN724" s="61"/>
      <c r="CO724" s="61"/>
      <c r="CP724" s="61"/>
      <c r="CQ724" s="61"/>
      <c r="CR724" s="61"/>
      <c r="CS724" s="61"/>
      <c r="CT724" s="61"/>
      <c r="CU724" s="61"/>
      <c r="CV724" s="61"/>
      <c r="CW724" s="61"/>
      <c r="CX724" s="61"/>
      <c r="CY724" s="61"/>
      <c r="CZ724" s="61"/>
      <c r="DA724" s="61"/>
      <c r="DB724" s="61"/>
      <c r="DC724" s="61"/>
      <c r="DD724" s="61"/>
      <c r="DE724" s="61"/>
      <c r="DF724" s="61"/>
      <c r="DG724" s="61"/>
      <c r="DH724" s="61"/>
      <c r="DI724" s="61"/>
      <c r="DJ724" s="61"/>
      <c r="DK724" s="61"/>
    </row>
    <row r="725" spans="1:115" ht="21" customHeight="1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108"/>
      <c r="N725" s="108"/>
      <c r="O725" s="108"/>
      <c r="P725" s="108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  <c r="CD725" s="61"/>
      <c r="CE725" s="61"/>
      <c r="CF725" s="61"/>
      <c r="CG725" s="61"/>
      <c r="CH725" s="61"/>
      <c r="CI725" s="61"/>
      <c r="CJ725" s="61"/>
      <c r="CK725" s="61"/>
      <c r="CL725" s="61"/>
      <c r="CM725" s="61"/>
      <c r="CN725" s="61"/>
      <c r="CO725" s="61"/>
      <c r="CP725" s="61"/>
      <c r="CQ725" s="61"/>
      <c r="CR725" s="61"/>
      <c r="CS725" s="61"/>
      <c r="CT725" s="61"/>
      <c r="CU725" s="61"/>
      <c r="CV725" s="61"/>
      <c r="CW725" s="61"/>
      <c r="CX725" s="61"/>
      <c r="CY725" s="61"/>
      <c r="CZ725" s="61"/>
      <c r="DA725" s="61"/>
      <c r="DB725" s="61"/>
      <c r="DC725" s="61"/>
      <c r="DD725" s="61"/>
      <c r="DE725" s="61"/>
      <c r="DF725" s="61"/>
      <c r="DG725" s="61"/>
      <c r="DH725" s="61"/>
      <c r="DI725" s="61"/>
      <c r="DJ725" s="61"/>
      <c r="DK725" s="61"/>
    </row>
    <row r="726" spans="1:115" ht="21" customHeight="1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108"/>
      <c r="N726" s="108"/>
      <c r="O726" s="108"/>
      <c r="P726" s="108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  <c r="CD726" s="61"/>
      <c r="CE726" s="61"/>
      <c r="CF726" s="61"/>
      <c r="CG726" s="61"/>
      <c r="CH726" s="61"/>
      <c r="CI726" s="61"/>
      <c r="CJ726" s="61"/>
      <c r="CK726" s="61"/>
      <c r="CL726" s="61"/>
      <c r="CM726" s="61"/>
      <c r="CN726" s="61"/>
      <c r="CO726" s="61"/>
      <c r="CP726" s="61"/>
      <c r="CQ726" s="61"/>
      <c r="CR726" s="61"/>
      <c r="CS726" s="61"/>
      <c r="CT726" s="61"/>
      <c r="CU726" s="61"/>
      <c r="CV726" s="61"/>
      <c r="CW726" s="61"/>
      <c r="CX726" s="61"/>
      <c r="CY726" s="61"/>
      <c r="CZ726" s="61"/>
      <c r="DA726" s="61"/>
      <c r="DB726" s="61"/>
      <c r="DC726" s="61"/>
      <c r="DD726" s="61"/>
      <c r="DE726" s="61"/>
      <c r="DF726" s="61"/>
      <c r="DG726" s="61"/>
      <c r="DH726" s="61"/>
      <c r="DI726" s="61"/>
      <c r="DJ726" s="61"/>
      <c r="DK726" s="61"/>
    </row>
    <row r="727" spans="1:115" ht="21" customHeight="1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108"/>
      <c r="N727" s="108"/>
      <c r="O727" s="108"/>
      <c r="P727" s="108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  <c r="CD727" s="61"/>
      <c r="CE727" s="61"/>
      <c r="CF727" s="61"/>
      <c r="CG727" s="61"/>
      <c r="CH727" s="61"/>
      <c r="CI727" s="61"/>
      <c r="CJ727" s="61"/>
      <c r="CK727" s="61"/>
      <c r="CL727" s="61"/>
      <c r="CM727" s="61"/>
      <c r="CN727" s="61"/>
      <c r="CO727" s="61"/>
      <c r="CP727" s="61"/>
      <c r="CQ727" s="61"/>
      <c r="CR727" s="61"/>
      <c r="CS727" s="61"/>
      <c r="CT727" s="61"/>
      <c r="CU727" s="61"/>
      <c r="CV727" s="61"/>
      <c r="CW727" s="61"/>
      <c r="CX727" s="61"/>
      <c r="CY727" s="61"/>
      <c r="CZ727" s="61"/>
      <c r="DA727" s="61"/>
      <c r="DB727" s="61"/>
      <c r="DC727" s="61"/>
      <c r="DD727" s="61"/>
      <c r="DE727" s="61"/>
      <c r="DF727" s="61"/>
      <c r="DG727" s="61"/>
      <c r="DH727" s="61"/>
      <c r="DI727" s="61"/>
      <c r="DJ727" s="61"/>
      <c r="DK727" s="61"/>
    </row>
    <row r="728" spans="1:115" ht="21" customHeight="1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108"/>
      <c r="N728" s="108"/>
      <c r="O728" s="108"/>
      <c r="P728" s="108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  <c r="CD728" s="61"/>
      <c r="CE728" s="61"/>
      <c r="CF728" s="61"/>
      <c r="CG728" s="61"/>
      <c r="CH728" s="61"/>
      <c r="CI728" s="61"/>
      <c r="CJ728" s="61"/>
      <c r="CK728" s="61"/>
      <c r="CL728" s="61"/>
      <c r="CM728" s="61"/>
      <c r="CN728" s="61"/>
      <c r="CO728" s="61"/>
      <c r="CP728" s="61"/>
      <c r="CQ728" s="61"/>
      <c r="CR728" s="61"/>
      <c r="CS728" s="61"/>
      <c r="CT728" s="61"/>
      <c r="CU728" s="61"/>
      <c r="CV728" s="61"/>
      <c r="CW728" s="61"/>
      <c r="CX728" s="61"/>
      <c r="CY728" s="61"/>
      <c r="CZ728" s="61"/>
      <c r="DA728" s="61"/>
      <c r="DB728" s="61"/>
      <c r="DC728" s="61"/>
      <c r="DD728" s="61"/>
      <c r="DE728" s="61"/>
      <c r="DF728" s="61"/>
      <c r="DG728" s="61"/>
      <c r="DH728" s="61"/>
      <c r="DI728" s="61"/>
      <c r="DJ728" s="61"/>
      <c r="DK728" s="61"/>
    </row>
    <row r="729" spans="1:115" ht="21" customHeight="1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108"/>
      <c r="N729" s="108"/>
      <c r="O729" s="108"/>
      <c r="P729" s="108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  <c r="CD729" s="61"/>
      <c r="CE729" s="61"/>
      <c r="CF729" s="61"/>
      <c r="CG729" s="61"/>
      <c r="CH729" s="61"/>
      <c r="CI729" s="61"/>
      <c r="CJ729" s="61"/>
      <c r="CK729" s="61"/>
      <c r="CL729" s="61"/>
      <c r="CM729" s="61"/>
      <c r="CN729" s="61"/>
      <c r="CO729" s="61"/>
      <c r="CP729" s="61"/>
      <c r="CQ729" s="61"/>
      <c r="CR729" s="61"/>
      <c r="CS729" s="61"/>
      <c r="CT729" s="61"/>
      <c r="CU729" s="61"/>
      <c r="CV729" s="61"/>
      <c r="CW729" s="61"/>
      <c r="CX729" s="61"/>
      <c r="CY729" s="61"/>
      <c r="CZ729" s="61"/>
      <c r="DA729" s="61"/>
      <c r="DB729" s="61"/>
      <c r="DC729" s="61"/>
      <c r="DD729" s="61"/>
      <c r="DE729" s="61"/>
      <c r="DF729" s="61"/>
      <c r="DG729" s="61"/>
      <c r="DH729" s="61"/>
      <c r="DI729" s="61"/>
      <c r="DJ729" s="61"/>
      <c r="DK729" s="61"/>
    </row>
    <row r="730" spans="1:115" ht="21" customHeight="1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108"/>
      <c r="N730" s="108"/>
      <c r="O730" s="108"/>
      <c r="P730" s="108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  <c r="CD730" s="61"/>
      <c r="CE730" s="61"/>
      <c r="CF730" s="61"/>
      <c r="CG730" s="61"/>
      <c r="CH730" s="61"/>
      <c r="CI730" s="61"/>
      <c r="CJ730" s="61"/>
      <c r="CK730" s="61"/>
      <c r="CL730" s="61"/>
      <c r="CM730" s="61"/>
      <c r="CN730" s="61"/>
      <c r="CO730" s="61"/>
      <c r="CP730" s="61"/>
      <c r="CQ730" s="61"/>
      <c r="CR730" s="61"/>
      <c r="CS730" s="61"/>
      <c r="CT730" s="61"/>
      <c r="CU730" s="61"/>
      <c r="CV730" s="61"/>
      <c r="CW730" s="61"/>
      <c r="CX730" s="61"/>
      <c r="CY730" s="61"/>
      <c r="CZ730" s="61"/>
      <c r="DA730" s="61"/>
      <c r="DB730" s="61"/>
      <c r="DC730" s="61"/>
      <c r="DD730" s="61"/>
      <c r="DE730" s="61"/>
      <c r="DF730" s="61"/>
      <c r="DG730" s="61"/>
      <c r="DH730" s="61"/>
      <c r="DI730" s="61"/>
      <c r="DJ730" s="61"/>
      <c r="DK730" s="61"/>
    </row>
    <row r="731" spans="1:115" ht="21" customHeight="1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108"/>
      <c r="N731" s="108"/>
      <c r="O731" s="108"/>
      <c r="P731" s="108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  <c r="CD731" s="61"/>
      <c r="CE731" s="61"/>
      <c r="CF731" s="61"/>
      <c r="CG731" s="61"/>
      <c r="CH731" s="61"/>
      <c r="CI731" s="61"/>
      <c r="CJ731" s="61"/>
      <c r="CK731" s="61"/>
      <c r="CL731" s="61"/>
      <c r="CM731" s="61"/>
      <c r="CN731" s="61"/>
      <c r="CO731" s="61"/>
      <c r="CP731" s="61"/>
      <c r="CQ731" s="61"/>
      <c r="CR731" s="61"/>
      <c r="CS731" s="61"/>
      <c r="CT731" s="61"/>
      <c r="CU731" s="61"/>
      <c r="CV731" s="61"/>
      <c r="CW731" s="61"/>
      <c r="CX731" s="61"/>
      <c r="CY731" s="61"/>
      <c r="CZ731" s="61"/>
      <c r="DA731" s="61"/>
      <c r="DB731" s="61"/>
      <c r="DC731" s="61"/>
      <c r="DD731" s="61"/>
      <c r="DE731" s="61"/>
      <c r="DF731" s="61"/>
      <c r="DG731" s="61"/>
      <c r="DH731" s="61"/>
      <c r="DI731" s="61"/>
      <c r="DJ731" s="61"/>
      <c r="DK731" s="61"/>
    </row>
    <row r="732" spans="1:115" ht="21" customHeight="1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108"/>
      <c r="N732" s="108"/>
      <c r="O732" s="108"/>
      <c r="P732" s="108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  <c r="CD732" s="61"/>
      <c r="CE732" s="61"/>
      <c r="CF732" s="61"/>
      <c r="CG732" s="61"/>
      <c r="CH732" s="61"/>
      <c r="CI732" s="61"/>
      <c r="CJ732" s="61"/>
      <c r="CK732" s="61"/>
      <c r="CL732" s="61"/>
      <c r="CM732" s="61"/>
      <c r="CN732" s="61"/>
      <c r="CO732" s="61"/>
      <c r="CP732" s="61"/>
      <c r="CQ732" s="61"/>
      <c r="CR732" s="61"/>
      <c r="CS732" s="61"/>
      <c r="CT732" s="61"/>
      <c r="CU732" s="61"/>
      <c r="CV732" s="61"/>
      <c r="CW732" s="61"/>
      <c r="CX732" s="61"/>
      <c r="CY732" s="61"/>
      <c r="CZ732" s="61"/>
      <c r="DA732" s="61"/>
      <c r="DB732" s="61"/>
      <c r="DC732" s="61"/>
      <c r="DD732" s="61"/>
      <c r="DE732" s="61"/>
      <c r="DF732" s="61"/>
      <c r="DG732" s="61"/>
      <c r="DH732" s="61"/>
      <c r="DI732" s="61"/>
      <c r="DJ732" s="61"/>
      <c r="DK732" s="61"/>
    </row>
    <row r="733" spans="1:115" ht="21" customHeight="1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108"/>
      <c r="N733" s="108"/>
      <c r="O733" s="108"/>
      <c r="P733" s="108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  <c r="CD733" s="61"/>
      <c r="CE733" s="61"/>
      <c r="CF733" s="61"/>
      <c r="CG733" s="61"/>
      <c r="CH733" s="61"/>
      <c r="CI733" s="61"/>
      <c r="CJ733" s="61"/>
      <c r="CK733" s="61"/>
      <c r="CL733" s="61"/>
      <c r="CM733" s="61"/>
      <c r="CN733" s="61"/>
      <c r="CO733" s="61"/>
      <c r="CP733" s="61"/>
      <c r="CQ733" s="61"/>
      <c r="CR733" s="61"/>
      <c r="CS733" s="61"/>
      <c r="CT733" s="61"/>
      <c r="CU733" s="61"/>
      <c r="CV733" s="61"/>
      <c r="CW733" s="61"/>
      <c r="CX733" s="61"/>
      <c r="CY733" s="61"/>
      <c r="CZ733" s="61"/>
      <c r="DA733" s="61"/>
      <c r="DB733" s="61"/>
      <c r="DC733" s="61"/>
      <c r="DD733" s="61"/>
      <c r="DE733" s="61"/>
      <c r="DF733" s="61"/>
      <c r="DG733" s="61"/>
      <c r="DH733" s="61"/>
      <c r="DI733" s="61"/>
      <c r="DJ733" s="61"/>
      <c r="DK733" s="61"/>
    </row>
    <row r="734" spans="1:115" ht="21" customHeight="1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108"/>
      <c r="N734" s="108"/>
      <c r="O734" s="108"/>
      <c r="P734" s="108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  <c r="CD734" s="61"/>
      <c r="CE734" s="61"/>
      <c r="CF734" s="61"/>
      <c r="CG734" s="61"/>
      <c r="CH734" s="61"/>
      <c r="CI734" s="61"/>
      <c r="CJ734" s="61"/>
      <c r="CK734" s="61"/>
      <c r="CL734" s="61"/>
      <c r="CM734" s="61"/>
      <c r="CN734" s="61"/>
      <c r="CO734" s="61"/>
      <c r="CP734" s="61"/>
      <c r="CQ734" s="61"/>
      <c r="CR734" s="61"/>
      <c r="CS734" s="61"/>
      <c r="CT734" s="61"/>
      <c r="CU734" s="61"/>
      <c r="CV734" s="61"/>
      <c r="CW734" s="61"/>
      <c r="CX734" s="61"/>
      <c r="CY734" s="61"/>
      <c r="CZ734" s="61"/>
      <c r="DA734" s="61"/>
      <c r="DB734" s="61"/>
      <c r="DC734" s="61"/>
      <c r="DD734" s="61"/>
      <c r="DE734" s="61"/>
      <c r="DF734" s="61"/>
      <c r="DG734" s="61"/>
      <c r="DH734" s="61"/>
      <c r="DI734" s="61"/>
      <c r="DJ734" s="61"/>
      <c r="DK734" s="61"/>
    </row>
    <row r="735" spans="1:115" ht="21" customHeight="1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108"/>
      <c r="N735" s="108"/>
      <c r="O735" s="108"/>
      <c r="P735" s="108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  <c r="CD735" s="61"/>
      <c r="CE735" s="61"/>
      <c r="CF735" s="61"/>
      <c r="CG735" s="61"/>
      <c r="CH735" s="61"/>
      <c r="CI735" s="61"/>
      <c r="CJ735" s="61"/>
      <c r="CK735" s="61"/>
      <c r="CL735" s="61"/>
      <c r="CM735" s="61"/>
      <c r="CN735" s="61"/>
      <c r="CO735" s="61"/>
      <c r="CP735" s="61"/>
      <c r="CQ735" s="61"/>
      <c r="CR735" s="61"/>
      <c r="CS735" s="61"/>
      <c r="CT735" s="61"/>
      <c r="CU735" s="61"/>
      <c r="CV735" s="61"/>
      <c r="CW735" s="61"/>
      <c r="CX735" s="61"/>
      <c r="CY735" s="61"/>
      <c r="CZ735" s="61"/>
      <c r="DA735" s="61"/>
      <c r="DB735" s="61"/>
      <c r="DC735" s="61"/>
      <c r="DD735" s="61"/>
      <c r="DE735" s="61"/>
      <c r="DF735" s="61"/>
      <c r="DG735" s="61"/>
      <c r="DH735" s="61"/>
      <c r="DI735" s="61"/>
      <c r="DJ735" s="61"/>
      <c r="DK735" s="61"/>
    </row>
    <row r="736" spans="1:115" ht="21" customHeight="1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108"/>
      <c r="N736" s="108"/>
      <c r="O736" s="108"/>
      <c r="P736" s="108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  <c r="CD736" s="61"/>
      <c r="CE736" s="61"/>
      <c r="CF736" s="61"/>
      <c r="CG736" s="61"/>
      <c r="CH736" s="61"/>
      <c r="CI736" s="61"/>
      <c r="CJ736" s="61"/>
      <c r="CK736" s="61"/>
      <c r="CL736" s="61"/>
      <c r="CM736" s="61"/>
      <c r="CN736" s="61"/>
      <c r="CO736" s="61"/>
      <c r="CP736" s="61"/>
      <c r="CQ736" s="61"/>
      <c r="CR736" s="61"/>
      <c r="CS736" s="61"/>
      <c r="CT736" s="61"/>
      <c r="CU736" s="61"/>
      <c r="CV736" s="61"/>
      <c r="CW736" s="61"/>
      <c r="CX736" s="61"/>
      <c r="CY736" s="61"/>
      <c r="CZ736" s="61"/>
      <c r="DA736" s="61"/>
      <c r="DB736" s="61"/>
      <c r="DC736" s="61"/>
      <c r="DD736" s="61"/>
      <c r="DE736" s="61"/>
      <c r="DF736" s="61"/>
      <c r="DG736" s="61"/>
      <c r="DH736" s="61"/>
      <c r="DI736" s="61"/>
      <c r="DJ736" s="61"/>
      <c r="DK736" s="61"/>
    </row>
    <row r="737" spans="1:115" ht="21" customHeight="1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108"/>
      <c r="N737" s="108"/>
      <c r="O737" s="108"/>
      <c r="P737" s="108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  <c r="CD737" s="61"/>
      <c r="CE737" s="61"/>
      <c r="CF737" s="61"/>
      <c r="CG737" s="61"/>
      <c r="CH737" s="61"/>
      <c r="CI737" s="61"/>
      <c r="CJ737" s="61"/>
      <c r="CK737" s="61"/>
      <c r="CL737" s="61"/>
      <c r="CM737" s="61"/>
      <c r="CN737" s="61"/>
      <c r="CO737" s="61"/>
      <c r="CP737" s="61"/>
      <c r="CQ737" s="61"/>
      <c r="CR737" s="61"/>
      <c r="CS737" s="61"/>
      <c r="CT737" s="61"/>
      <c r="CU737" s="61"/>
      <c r="CV737" s="61"/>
      <c r="CW737" s="61"/>
      <c r="CX737" s="61"/>
      <c r="CY737" s="61"/>
      <c r="CZ737" s="61"/>
      <c r="DA737" s="61"/>
      <c r="DB737" s="61"/>
      <c r="DC737" s="61"/>
      <c r="DD737" s="61"/>
      <c r="DE737" s="61"/>
      <c r="DF737" s="61"/>
      <c r="DG737" s="61"/>
      <c r="DH737" s="61"/>
      <c r="DI737" s="61"/>
      <c r="DJ737" s="61"/>
      <c r="DK737" s="61"/>
    </row>
    <row r="738" spans="1:115" ht="21" customHeight="1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108"/>
      <c r="N738" s="108"/>
      <c r="O738" s="108"/>
      <c r="P738" s="108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  <c r="CD738" s="61"/>
      <c r="CE738" s="61"/>
      <c r="CF738" s="61"/>
      <c r="CG738" s="61"/>
      <c r="CH738" s="61"/>
      <c r="CI738" s="61"/>
      <c r="CJ738" s="61"/>
      <c r="CK738" s="61"/>
      <c r="CL738" s="61"/>
      <c r="CM738" s="61"/>
      <c r="CN738" s="61"/>
      <c r="CO738" s="61"/>
      <c r="CP738" s="61"/>
      <c r="CQ738" s="61"/>
      <c r="CR738" s="61"/>
      <c r="CS738" s="61"/>
      <c r="CT738" s="61"/>
      <c r="CU738" s="61"/>
      <c r="CV738" s="61"/>
      <c r="CW738" s="61"/>
      <c r="CX738" s="61"/>
      <c r="CY738" s="61"/>
      <c r="CZ738" s="61"/>
      <c r="DA738" s="61"/>
      <c r="DB738" s="61"/>
      <c r="DC738" s="61"/>
      <c r="DD738" s="61"/>
      <c r="DE738" s="61"/>
      <c r="DF738" s="61"/>
      <c r="DG738" s="61"/>
      <c r="DH738" s="61"/>
      <c r="DI738" s="61"/>
      <c r="DJ738" s="61"/>
      <c r="DK738" s="61"/>
    </row>
    <row r="739" spans="1:115" ht="21" customHeight="1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108"/>
      <c r="N739" s="108"/>
      <c r="O739" s="108"/>
      <c r="P739" s="108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  <c r="CD739" s="61"/>
      <c r="CE739" s="61"/>
      <c r="CF739" s="61"/>
      <c r="CG739" s="61"/>
      <c r="CH739" s="61"/>
      <c r="CI739" s="61"/>
      <c r="CJ739" s="61"/>
      <c r="CK739" s="61"/>
      <c r="CL739" s="61"/>
      <c r="CM739" s="61"/>
      <c r="CN739" s="61"/>
      <c r="CO739" s="61"/>
      <c r="CP739" s="61"/>
      <c r="CQ739" s="61"/>
      <c r="CR739" s="61"/>
      <c r="CS739" s="61"/>
      <c r="CT739" s="61"/>
      <c r="CU739" s="61"/>
      <c r="CV739" s="61"/>
      <c r="CW739" s="61"/>
      <c r="CX739" s="61"/>
      <c r="CY739" s="61"/>
      <c r="CZ739" s="61"/>
      <c r="DA739" s="61"/>
      <c r="DB739" s="61"/>
      <c r="DC739" s="61"/>
      <c r="DD739" s="61"/>
      <c r="DE739" s="61"/>
      <c r="DF739" s="61"/>
      <c r="DG739" s="61"/>
      <c r="DH739" s="61"/>
      <c r="DI739" s="61"/>
      <c r="DJ739" s="61"/>
      <c r="DK739" s="61"/>
    </row>
    <row r="740" spans="1:115" ht="21" customHeight="1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108"/>
      <c r="N740" s="108"/>
      <c r="O740" s="108"/>
      <c r="P740" s="108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  <c r="CD740" s="61"/>
      <c r="CE740" s="61"/>
      <c r="CF740" s="61"/>
      <c r="CG740" s="61"/>
      <c r="CH740" s="61"/>
      <c r="CI740" s="61"/>
      <c r="CJ740" s="61"/>
      <c r="CK740" s="61"/>
      <c r="CL740" s="61"/>
      <c r="CM740" s="61"/>
      <c r="CN740" s="61"/>
      <c r="CO740" s="61"/>
      <c r="CP740" s="61"/>
      <c r="CQ740" s="61"/>
      <c r="CR740" s="61"/>
      <c r="CS740" s="61"/>
      <c r="CT740" s="61"/>
      <c r="CU740" s="61"/>
      <c r="CV740" s="61"/>
      <c r="CW740" s="61"/>
      <c r="CX740" s="61"/>
      <c r="CY740" s="61"/>
      <c r="CZ740" s="61"/>
      <c r="DA740" s="61"/>
      <c r="DB740" s="61"/>
      <c r="DC740" s="61"/>
      <c r="DD740" s="61"/>
      <c r="DE740" s="61"/>
      <c r="DF740" s="61"/>
      <c r="DG740" s="61"/>
      <c r="DH740" s="61"/>
      <c r="DI740" s="61"/>
      <c r="DJ740" s="61"/>
      <c r="DK740" s="61"/>
    </row>
    <row r="741" spans="1:115" ht="21" customHeight="1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108"/>
      <c r="N741" s="108"/>
      <c r="O741" s="108"/>
      <c r="P741" s="108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  <c r="CD741" s="61"/>
      <c r="CE741" s="61"/>
      <c r="CF741" s="61"/>
      <c r="CG741" s="61"/>
      <c r="CH741" s="61"/>
      <c r="CI741" s="61"/>
      <c r="CJ741" s="61"/>
      <c r="CK741" s="61"/>
      <c r="CL741" s="61"/>
      <c r="CM741" s="61"/>
      <c r="CN741" s="61"/>
      <c r="CO741" s="61"/>
      <c r="CP741" s="61"/>
      <c r="CQ741" s="61"/>
      <c r="CR741" s="61"/>
      <c r="CS741" s="61"/>
      <c r="CT741" s="61"/>
      <c r="CU741" s="61"/>
      <c r="CV741" s="61"/>
      <c r="CW741" s="61"/>
      <c r="CX741" s="61"/>
      <c r="CY741" s="61"/>
      <c r="CZ741" s="61"/>
      <c r="DA741" s="61"/>
      <c r="DB741" s="61"/>
      <c r="DC741" s="61"/>
      <c r="DD741" s="61"/>
      <c r="DE741" s="61"/>
      <c r="DF741" s="61"/>
      <c r="DG741" s="61"/>
      <c r="DH741" s="61"/>
      <c r="DI741" s="61"/>
      <c r="DJ741" s="61"/>
      <c r="DK741" s="61"/>
    </row>
    <row r="742" spans="1:115" ht="21" customHeight="1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108"/>
      <c r="N742" s="108"/>
      <c r="O742" s="108"/>
      <c r="P742" s="108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  <c r="CD742" s="61"/>
      <c r="CE742" s="61"/>
      <c r="CF742" s="61"/>
      <c r="CG742" s="61"/>
      <c r="CH742" s="61"/>
      <c r="CI742" s="61"/>
      <c r="CJ742" s="61"/>
      <c r="CK742" s="61"/>
      <c r="CL742" s="61"/>
      <c r="CM742" s="61"/>
      <c r="CN742" s="61"/>
      <c r="CO742" s="61"/>
      <c r="CP742" s="61"/>
      <c r="CQ742" s="61"/>
      <c r="CR742" s="61"/>
      <c r="CS742" s="61"/>
      <c r="CT742" s="61"/>
      <c r="CU742" s="61"/>
      <c r="CV742" s="61"/>
      <c r="CW742" s="61"/>
      <c r="CX742" s="61"/>
      <c r="CY742" s="61"/>
      <c r="CZ742" s="61"/>
      <c r="DA742" s="61"/>
      <c r="DB742" s="61"/>
      <c r="DC742" s="61"/>
      <c r="DD742" s="61"/>
      <c r="DE742" s="61"/>
      <c r="DF742" s="61"/>
      <c r="DG742" s="61"/>
      <c r="DH742" s="61"/>
      <c r="DI742" s="61"/>
      <c r="DJ742" s="61"/>
      <c r="DK742" s="61"/>
    </row>
    <row r="743" spans="1:115" ht="21" customHeight="1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108"/>
      <c r="N743" s="108"/>
      <c r="O743" s="108"/>
      <c r="P743" s="108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  <c r="CD743" s="61"/>
      <c r="CE743" s="61"/>
      <c r="CF743" s="61"/>
      <c r="CG743" s="61"/>
      <c r="CH743" s="61"/>
      <c r="CI743" s="61"/>
      <c r="CJ743" s="61"/>
      <c r="CK743" s="61"/>
      <c r="CL743" s="61"/>
      <c r="CM743" s="61"/>
      <c r="CN743" s="61"/>
      <c r="CO743" s="61"/>
      <c r="CP743" s="61"/>
      <c r="CQ743" s="61"/>
      <c r="CR743" s="61"/>
      <c r="CS743" s="61"/>
      <c r="CT743" s="61"/>
      <c r="CU743" s="61"/>
      <c r="CV743" s="61"/>
      <c r="CW743" s="61"/>
      <c r="CX743" s="61"/>
      <c r="CY743" s="61"/>
      <c r="CZ743" s="61"/>
      <c r="DA743" s="61"/>
      <c r="DB743" s="61"/>
      <c r="DC743" s="61"/>
      <c r="DD743" s="61"/>
      <c r="DE743" s="61"/>
      <c r="DF743" s="61"/>
      <c r="DG743" s="61"/>
      <c r="DH743" s="61"/>
      <c r="DI743" s="61"/>
      <c r="DJ743" s="61"/>
      <c r="DK743" s="61"/>
    </row>
    <row r="744" spans="1:115" ht="21" customHeight="1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108"/>
      <c r="N744" s="108"/>
      <c r="O744" s="108"/>
      <c r="P744" s="108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  <c r="CD744" s="61"/>
      <c r="CE744" s="61"/>
      <c r="CF744" s="61"/>
      <c r="CG744" s="61"/>
      <c r="CH744" s="61"/>
      <c r="CI744" s="61"/>
      <c r="CJ744" s="61"/>
      <c r="CK744" s="61"/>
      <c r="CL744" s="61"/>
      <c r="CM744" s="61"/>
      <c r="CN744" s="61"/>
      <c r="CO744" s="61"/>
      <c r="CP744" s="61"/>
      <c r="CQ744" s="61"/>
      <c r="CR744" s="61"/>
      <c r="CS744" s="61"/>
      <c r="CT744" s="61"/>
      <c r="CU744" s="61"/>
      <c r="CV744" s="61"/>
      <c r="CW744" s="61"/>
      <c r="CX744" s="61"/>
      <c r="CY744" s="61"/>
      <c r="CZ744" s="61"/>
      <c r="DA744" s="61"/>
      <c r="DB744" s="61"/>
      <c r="DC744" s="61"/>
      <c r="DD744" s="61"/>
      <c r="DE744" s="61"/>
      <c r="DF744" s="61"/>
      <c r="DG744" s="61"/>
      <c r="DH744" s="61"/>
      <c r="DI744" s="61"/>
      <c r="DJ744" s="61"/>
      <c r="DK744" s="61"/>
    </row>
    <row r="745" spans="1:115" ht="21" customHeight="1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108"/>
      <c r="N745" s="108"/>
      <c r="O745" s="108"/>
      <c r="P745" s="108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  <c r="CD745" s="61"/>
      <c r="CE745" s="61"/>
      <c r="CF745" s="61"/>
      <c r="CG745" s="61"/>
      <c r="CH745" s="61"/>
      <c r="CI745" s="61"/>
      <c r="CJ745" s="61"/>
      <c r="CK745" s="61"/>
      <c r="CL745" s="61"/>
      <c r="CM745" s="61"/>
      <c r="CN745" s="61"/>
      <c r="CO745" s="61"/>
      <c r="CP745" s="61"/>
      <c r="CQ745" s="61"/>
      <c r="CR745" s="61"/>
      <c r="CS745" s="61"/>
      <c r="CT745" s="61"/>
      <c r="CU745" s="61"/>
      <c r="CV745" s="61"/>
      <c r="CW745" s="61"/>
      <c r="CX745" s="61"/>
      <c r="CY745" s="61"/>
      <c r="CZ745" s="61"/>
      <c r="DA745" s="61"/>
      <c r="DB745" s="61"/>
      <c r="DC745" s="61"/>
      <c r="DD745" s="61"/>
      <c r="DE745" s="61"/>
      <c r="DF745" s="61"/>
      <c r="DG745" s="61"/>
      <c r="DH745" s="61"/>
      <c r="DI745" s="61"/>
      <c r="DJ745" s="61"/>
      <c r="DK745" s="61"/>
    </row>
    <row r="746" spans="1:115" ht="21" customHeight="1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108"/>
      <c r="N746" s="108"/>
      <c r="O746" s="108"/>
      <c r="P746" s="108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  <c r="CD746" s="61"/>
      <c r="CE746" s="61"/>
      <c r="CF746" s="61"/>
      <c r="CG746" s="61"/>
      <c r="CH746" s="61"/>
      <c r="CI746" s="61"/>
      <c r="CJ746" s="61"/>
      <c r="CK746" s="61"/>
      <c r="CL746" s="61"/>
      <c r="CM746" s="61"/>
      <c r="CN746" s="61"/>
      <c r="CO746" s="61"/>
      <c r="CP746" s="61"/>
      <c r="CQ746" s="61"/>
      <c r="CR746" s="61"/>
      <c r="CS746" s="61"/>
      <c r="CT746" s="61"/>
      <c r="CU746" s="61"/>
      <c r="CV746" s="61"/>
      <c r="CW746" s="61"/>
      <c r="CX746" s="61"/>
      <c r="CY746" s="61"/>
      <c r="CZ746" s="61"/>
      <c r="DA746" s="61"/>
      <c r="DB746" s="61"/>
      <c r="DC746" s="61"/>
      <c r="DD746" s="61"/>
      <c r="DE746" s="61"/>
      <c r="DF746" s="61"/>
      <c r="DG746" s="61"/>
      <c r="DH746" s="61"/>
      <c r="DI746" s="61"/>
      <c r="DJ746" s="61"/>
      <c r="DK746" s="61"/>
    </row>
    <row r="747" spans="1:115" ht="21" customHeight="1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108"/>
      <c r="N747" s="108"/>
      <c r="O747" s="108"/>
      <c r="P747" s="108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  <c r="CD747" s="61"/>
      <c r="CE747" s="61"/>
      <c r="CF747" s="61"/>
      <c r="CG747" s="61"/>
      <c r="CH747" s="61"/>
      <c r="CI747" s="61"/>
      <c r="CJ747" s="61"/>
      <c r="CK747" s="61"/>
      <c r="CL747" s="61"/>
      <c r="CM747" s="61"/>
      <c r="CN747" s="61"/>
      <c r="CO747" s="61"/>
      <c r="CP747" s="61"/>
      <c r="CQ747" s="61"/>
      <c r="CR747" s="61"/>
      <c r="CS747" s="61"/>
      <c r="CT747" s="61"/>
      <c r="CU747" s="61"/>
      <c r="CV747" s="61"/>
      <c r="CW747" s="61"/>
      <c r="CX747" s="61"/>
      <c r="CY747" s="61"/>
      <c r="CZ747" s="61"/>
      <c r="DA747" s="61"/>
      <c r="DB747" s="61"/>
      <c r="DC747" s="61"/>
      <c r="DD747" s="61"/>
      <c r="DE747" s="61"/>
      <c r="DF747" s="61"/>
      <c r="DG747" s="61"/>
      <c r="DH747" s="61"/>
      <c r="DI747" s="61"/>
      <c r="DJ747" s="61"/>
      <c r="DK747" s="61"/>
    </row>
    <row r="748" spans="1:115" ht="21" customHeight="1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108"/>
      <c r="N748" s="108"/>
      <c r="O748" s="108"/>
      <c r="P748" s="108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  <c r="CM748" s="61"/>
      <c r="CN748" s="61"/>
      <c r="CO748" s="61"/>
      <c r="CP748" s="61"/>
      <c r="CQ748" s="61"/>
      <c r="CR748" s="61"/>
      <c r="CS748" s="61"/>
      <c r="CT748" s="61"/>
      <c r="CU748" s="61"/>
      <c r="CV748" s="61"/>
      <c r="CW748" s="61"/>
      <c r="CX748" s="61"/>
      <c r="CY748" s="61"/>
      <c r="CZ748" s="61"/>
      <c r="DA748" s="61"/>
      <c r="DB748" s="61"/>
      <c r="DC748" s="61"/>
      <c r="DD748" s="61"/>
      <c r="DE748" s="61"/>
      <c r="DF748" s="61"/>
      <c r="DG748" s="61"/>
      <c r="DH748" s="61"/>
      <c r="DI748" s="61"/>
      <c r="DJ748" s="61"/>
      <c r="DK748" s="61"/>
    </row>
    <row r="749" spans="1:115" ht="21" customHeight="1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108"/>
      <c r="N749" s="108"/>
      <c r="O749" s="108"/>
      <c r="P749" s="108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  <c r="CD749" s="61"/>
      <c r="CE749" s="61"/>
      <c r="CF749" s="61"/>
      <c r="CG749" s="61"/>
      <c r="CH749" s="61"/>
      <c r="CI749" s="61"/>
      <c r="CJ749" s="61"/>
      <c r="CK749" s="61"/>
      <c r="CL749" s="61"/>
      <c r="CM749" s="61"/>
      <c r="CN749" s="61"/>
      <c r="CO749" s="61"/>
      <c r="CP749" s="61"/>
      <c r="CQ749" s="61"/>
      <c r="CR749" s="61"/>
      <c r="CS749" s="61"/>
      <c r="CT749" s="61"/>
      <c r="CU749" s="61"/>
      <c r="CV749" s="61"/>
      <c r="CW749" s="61"/>
      <c r="CX749" s="61"/>
      <c r="CY749" s="61"/>
      <c r="CZ749" s="61"/>
      <c r="DA749" s="61"/>
      <c r="DB749" s="61"/>
      <c r="DC749" s="61"/>
      <c r="DD749" s="61"/>
      <c r="DE749" s="61"/>
      <c r="DF749" s="61"/>
      <c r="DG749" s="61"/>
      <c r="DH749" s="61"/>
      <c r="DI749" s="61"/>
      <c r="DJ749" s="61"/>
      <c r="DK749" s="61"/>
    </row>
    <row r="750" spans="1:115" ht="21" customHeight="1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108"/>
      <c r="N750" s="108"/>
      <c r="O750" s="108"/>
      <c r="P750" s="108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  <c r="CN750" s="61"/>
      <c r="CO750" s="61"/>
      <c r="CP750" s="61"/>
      <c r="CQ750" s="61"/>
      <c r="CR750" s="61"/>
      <c r="CS750" s="61"/>
      <c r="CT750" s="61"/>
      <c r="CU750" s="61"/>
      <c r="CV750" s="61"/>
      <c r="CW750" s="61"/>
      <c r="CX750" s="61"/>
      <c r="CY750" s="61"/>
      <c r="CZ750" s="61"/>
      <c r="DA750" s="61"/>
      <c r="DB750" s="61"/>
      <c r="DC750" s="61"/>
      <c r="DD750" s="61"/>
      <c r="DE750" s="61"/>
      <c r="DF750" s="61"/>
      <c r="DG750" s="61"/>
      <c r="DH750" s="61"/>
      <c r="DI750" s="61"/>
      <c r="DJ750" s="61"/>
      <c r="DK750" s="61"/>
    </row>
    <row r="751" spans="1:115" ht="21" customHeight="1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108"/>
      <c r="N751" s="108"/>
      <c r="O751" s="108"/>
      <c r="P751" s="108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  <c r="CD751" s="61"/>
      <c r="CE751" s="61"/>
      <c r="CF751" s="61"/>
      <c r="CG751" s="61"/>
      <c r="CH751" s="61"/>
      <c r="CI751" s="61"/>
      <c r="CJ751" s="61"/>
      <c r="CK751" s="61"/>
      <c r="CL751" s="61"/>
      <c r="CM751" s="61"/>
      <c r="CN751" s="61"/>
      <c r="CO751" s="61"/>
      <c r="CP751" s="61"/>
      <c r="CQ751" s="61"/>
      <c r="CR751" s="61"/>
      <c r="CS751" s="61"/>
      <c r="CT751" s="61"/>
      <c r="CU751" s="61"/>
      <c r="CV751" s="61"/>
      <c r="CW751" s="61"/>
      <c r="CX751" s="61"/>
      <c r="CY751" s="61"/>
      <c r="CZ751" s="61"/>
      <c r="DA751" s="61"/>
      <c r="DB751" s="61"/>
      <c r="DC751" s="61"/>
      <c r="DD751" s="61"/>
      <c r="DE751" s="61"/>
      <c r="DF751" s="61"/>
      <c r="DG751" s="61"/>
      <c r="DH751" s="61"/>
      <c r="DI751" s="61"/>
      <c r="DJ751" s="61"/>
      <c r="DK751" s="61"/>
    </row>
    <row r="752" spans="1:115" ht="21" customHeight="1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108"/>
      <c r="N752" s="108"/>
      <c r="O752" s="108"/>
      <c r="P752" s="108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  <c r="CD752" s="61"/>
      <c r="CE752" s="61"/>
      <c r="CF752" s="61"/>
      <c r="CG752" s="61"/>
      <c r="CH752" s="61"/>
      <c r="CI752" s="61"/>
      <c r="CJ752" s="61"/>
      <c r="CK752" s="61"/>
      <c r="CL752" s="61"/>
      <c r="CM752" s="61"/>
      <c r="CN752" s="61"/>
      <c r="CO752" s="61"/>
      <c r="CP752" s="61"/>
      <c r="CQ752" s="61"/>
      <c r="CR752" s="61"/>
      <c r="CS752" s="61"/>
      <c r="CT752" s="61"/>
      <c r="CU752" s="61"/>
      <c r="CV752" s="61"/>
      <c r="CW752" s="61"/>
      <c r="CX752" s="61"/>
      <c r="CY752" s="61"/>
      <c r="CZ752" s="61"/>
      <c r="DA752" s="61"/>
      <c r="DB752" s="61"/>
      <c r="DC752" s="61"/>
      <c r="DD752" s="61"/>
      <c r="DE752" s="61"/>
      <c r="DF752" s="61"/>
      <c r="DG752" s="61"/>
      <c r="DH752" s="61"/>
      <c r="DI752" s="61"/>
      <c r="DJ752" s="61"/>
      <c r="DK752" s="61"/>
    </row>
    <row r="753" spans="1:115" ht="21" customHeight="1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108"/>
      <c r="N753" s="108"/>
      <c r="O753" s="108"/>
      <c r="P753" s="108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  <c r="CD753" s="61"/>
      <c r="CE753" s="61"/>
      <c r="CF753" s="61"/>
      <c r="CG753" s="61"/>
      <c r="CH753" s="61"/>
      <c r="CI753" s="61"/>
      <c r="CJ753" s="61"/>
      <c r="CK753" s="61"/>
      <c r="CL753" s="61"/>
      <c r="CM753" s="61"/>
      <c r="CN753" s="61"/>
      <c r="CO753" s="61"/>
      <c r="CP753" s="61"/>
      <c r="CQ753" s="61"/>
      <c r="CR753" s="61"/>
      <c r="CS753" s="61"/>
      <c r="CT753" s="61"/>
      <c r="CU753" s="61"/>
      <c r="CV753" s="61"/>
      <c r="CW753" s="61"/>
      <c r="CX753" s="61"/>
      <c r="CY753" s="61"/>
      <c r="CZ753" s="61"/>
      <c r="DA753" s="61"/>
      <c r="DB753" s="61"/>
      <c r="DC753" s="61"/>
      <c r="DD753" s="61"/>
      <c r="DE753" s="61"/>
      <c r="DF753" s="61"/>
      <c r="DG753" s="61"/>
      <c r="DH753" s="61"/>
      <c r="DI753" s="61"/>
      <c r="DJ753" s="61"/>
      <c r="DK753" s="61"/>
    </row>
    <row r="754" spans="1:115" ht="21" customHeight="1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108"/>
      <c r="N754" s="108"/>
      <c r="O754" s="108"/>
      <c r="P754" s="108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  <c r="CD754" s="61"/>
      <c r="CE754" s="61"/>
      <c r="CF754" s="61"/>
      <c r="CG754" s="61"/>
      <c r="CH754" s="61"/>
      <c r="CI754" s="61"/>
      <c r="CJ754" s="61"/>
      <c r="CK754" s="61"/>
      <c r="CL754" s="61"/>
      <c r="CM754" s="61"/>
      <c r="CN754" s="61"/>
      <c r="CO754" s="61"/>
      <c r="CP754" s="61"/>
      <c r="CQ754" s="61"/>
      <c r="CR754" s="61"/>
      <c r="CS754" s="61"/>
      <c r="CT754" s="61"/>
      <c r="CU754" s="61"/>
      <c r="CV754" s="61"/>
      <c r="CW754" s="61"/>
      <c r="CX754" s="61"/>
      <c r="CY754" s="61"/>
      <c r="CZ754" s="61"/>
      <c r="DA754" s="61"/>
      <c r="DB754" s="61"/>
      <c r="DC754" s="61"/>
      <c r="DD754" s="61"/>
      <c r="DE754" s="61"/>
      <c r="DF754" s="61"/>
      <c r="DG754" s="61"/>
      <c r="DH754" s="61"/>
      <c r="DI754" s="61"/>
      <c r="DJ754" s="61"/>
      <c r="DK754" s="61"/>
    </row>
    <row r="755" spans="1:115" ht="21" customHeight="1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108"/>
      <c r="N755" s="108"/>
      <c r="O755" s="108"/>
      <c r="P755" s="108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  <c r="CD755" s="61"/>
      <c r="CE755" s="61"/>
      <c r="CF755" s="61"/>
      <c r="CG755" s="61"/>
      <c r="CH755" s="61"/>
      <c r="CI755" s="61"/>
      <c r="CJ755" s="61"/>
      <c r="CK755" s="61"/>
      <c r="CL755" s="61"/>
      <c r="CM755" s="61"/>
      <c r="CN755" s="61"/>
      <c r="CO755" s="61"/>
      <c r="CP755" s="61"/>
      <c r="CQ755" s="61"/>
      <c r="CR755" s="61"/>
      <c r="CS755" s="61"/>
      <c r="CT755" s="61"/>
      <c r="CU755" s="61"/>
      <c r="CV755" s="61"/>
      <c r="CW755" s="61"/>
      <c r="CX755" s="61"/>
      <c r="CY755" s="61"/>
      <c r="CZ755" s="61"/>
      <c r="DA755" s="61"/>
      <c r="DB755" s="61"/>
      <c r="DC755" s="61"/>
      <c r="DD755" s="61"/>
      <c r="DE755" s="61"/>
      <c r="DF755" s="61"/>
      <c r="DG755" s="61"/>
      <c r="DH755" s="61"/>
      <c r="DI755" s="61"/>
      <c r="DJ755" s="61"/>
      <c r="DK755" s="61"/>
    </row>
    <row r="756" spans="1:115" ht="21" customHeight="1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108"/>
      <c r="N756" s="108"/>
      <c r="O756" s="108"/>
      <c r="P756" s="108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  <c r="CD756" s="61"/>
      <c r="CE756" s="61"/>
      <c r="CF756" s="61"/>
      <c r="CG756" s="61"/>
      <c r="CH756" s="61"/>
      <c r="CI756" s="61"/>
      <c r="CJ756" s="61"/>
      <c r="CK756" s="61"/>
      <c r="CL756" s="61"/>
      <c r="CM756" s="61"/>
      <c r="CN756" s="61"/>
      <c r="CO756" s="61"/>
      <c r="CP756" s="61"/>
      <c r="CQ756" s="61"/>
      <c r="CR756" s="61"/>
      <c r="CS756" s="61"/>
      <c r="CT756" s="61"/>
      <c r="CU756" s="61"/>
      <c r="CV756" s="61"/>
      <c r="CW756" s="61"/>
      <c r="CX756" s="61"/>
      <c r="CY756" s="61"/>
      <c r="CZ756" s="61"/>
      <c r="DA756" s="61"/>
      <c r="DB756" s="61"/>
      <c r="DC756" s="61"/>
      <c r="DD756" s="61"/>
      <c r="DE756" s="61"/>
      <c r="DF756" s="61"/>
      <c r="DG756" s="61"/>
      <c r="DH756" s="61"/>
      <c r="DI756" s="61"/>
      <c r="DJ756" s="61"/>
      <c r="DK756" s="61"/>
    </row>
    <row r="757" spans="1:115" ht="21" customHeight="1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108"/>
      <c r="N757" s="108"/>
      <c r="O757" s="108"/>
      <c r="P757" s="108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  <c r="CD757" s="61"/>
      <c r="CE757" s="61"/>
      <c r="CF757" s="61"/>
      <c r="CG757" s="61"/>
      <c r="CH757" s="61"/>
      <c r="CI757" s="61"/>
      <c r="CJ757" s="61"/>
      <c r="CK757" s="61"/>
      <c r="CL757" s="61"/>
      <c r="CM757" s="61"/>
      <c r="CN757" s="61"/>
      <c r="CO757" s="61"/>
      <c r="CP757" s="61"/>
      <c r="CQ757" s="61"/>
      <c r="CR757" s="61"/>
      <c r="CS757" s="61"/>
      <c r="CT757" s="61"/>
      <c r="CU757" s="61"/>
      <c r="CV757" s="61"/>
      <c r="CW757" s="61"/>
      <c r="CX757" s="61"/>
      <c r="CY757" s="61"/>
      <c r="CZ757" s="61"/>
      <c r="DA757" s="61"/>
      <c r="DB757" s="61"/>
      <c r="DC757" s="61"/>
      <c r="DD757" s="61"/>
      <c r="DE757" s="61"/>
      <c r="DF757" s="61"/>
      <c r="DG757" s="61"/>
      <c r="DH757" s="61"/>
      <c r="DI757" s="61"/>
      <c r="DJ757" s="61"/>
      <c r="DK757" s="61"/>
    </row>
    <row r="758" spans="1:115" ht="21" customHeight="1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108"/>
      <c r="N758" s="108"/>
      <c r="O758" s="108"/>
      <c r="P758" s="108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  <c r="CD758" s="61"/>
      <c r="CE758" s="61"/>
      <c r="CF758" s="61"/>
      <c r="CG758" s="61"/>
      <c r="CH758" s="61"/>
      <c r="CI758" s="61"/>
      <c r="CJ758" s="61"/>
      <c r="CK758" s="61"/>
      <c r="CL758" s="61"/>
      <c r="CM758" s="61"/>
      <c r="CN758" s="61"/>
      <c r="CO758" s="61"/>
      <c r="CP758" s="61"/>
      <c r="CQ758" s="61"/>
      <c r="CR758" s="61"/>
      <c r="CS758" s="61"/>
      <c r="CT758" s="61"/>
      <c r="CU758" s="61"/>
      <c r="CV758" s="61"/>
      <c r="CW758" s="61"/>
      <c r="CX758" s="61"/>
      <c r="CY758" s="61"/>
      <c r="CZ758" s="61"/>
      <c r="DA758" s="61"/>
      <c r="DB758" s="61"/>
      <c r="DC758" s="61"/>
      <c r="DD758" s="61"/>
      <c r="DE758" s="61"/>
      <c r="DF758" s="61"/>
      <c r="DG758" s="61"/>
      <c r="DH758" s="61"/>
      <c r="DI758" s="61"/>
      <c r="DJ758" s="61"/>
      <c r="DK758" s="61"/>
    </row>
    <row r="759" spans="1:115" ht="21" customHeight="1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108"/>
      <c r="N759" s="108"/>
      <c r="O759" s="108"/>
      <c r="P759" s="108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  <c r="CD759" s="61"/>
      <c r="CE759" s="61"/>
      <c r="CF759" s="61"/>
      <c r="CG759" s="61"/>
      <c r="CH759" s="61"/>
      <c r="CI759" s="61"/>
      <c r="CJ759" s="61"/>
      <c r="CK759" s="61"/>
      <c r="CL759" s="61"/>
      <c r="CM759" s="61"/>
      <c r="CN759" s="61"/>
      <c r="CO759" s="61"/>
      <c r="CP759" s="61"/>
      <c r="CQ759" s="61"/>
      <c r="CR759" s="61"/>
      <c r="CS759" s="61"/>
      <c r="CT759" s="61"/>
      <c r="CU759" s="61"/>
      <c r="CV759" s="61"/>
      <c r="CW759" s="61"/>
      <c r="CX759" s="61"/>
      <c r="CY759" s="61"/>
      <c r="CZ759" s="61"/>
      <c r="DA759" s="61"/>
      <c r="DB759" s="61"/>
      <c r="DC759" s="61"/>
      <c r="DD759" s="61"/>
      <c r="DE759" s="61"/>
      <c r="DF759" s="61"/>
      <c r="DG759" s="61"/>
      <c r="DH759" s="61"/>
      <c r="DI759" s="61"/>
      <c r="DJ759" s="61"/>
      <c r="DK759" s="61"/>
    </row>
    <row r="760" spans="1:115" ht="21" customHeight="1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108"/>
      <c r="N760" s="108"/>
      <c r="O760" s="108"/>
      <c r="P760" s="108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  <c r="CD760" s="61"/>
      <c r="CE760" s="61"/>
      <c r="CF760" s="61"/>
      <c r="CG760" s="61"/>
      <c r="CH760" s="61"/>
      <c r="CI760" s="61"/>
      <c r="CJ760" s="61"/>
      <c r="CK760" s="61"/>
      <c r="CL760" s="61"/>
      <c r="CM760" s="61"/>
      <c r="CN760" s="61"/>
      <c r="CO760" s="61"/>
      <c r="CP760" s="61"/>
      <c r="CQ760" s="61"/>
      <c r="CR760" s="61"/>
      <c r="CS760" s="61"/>
      <c r="CT760" s="61"/>
      <c r="CU760" s="61"/>
      <c r="CV760" s="61"/>
      <c r="CW760" s="61"/>
      <c r="CX760" s="61"/>
      <c r="CY760" s="61"/>
      <c r="CZ760" s="61"/>
      <c r="DA760" s="61"/>
      <c r="DB760" s="61"/>
      <c r="DC760" s="61"/>
      <c r="DD760" s="61"/>
      <c r="DE760" s="61"/>
      <c r="DF760" s="61"/>
      <c r="DG760" s="61"/>
      <c r="DH760" s="61"/>
      <c r="DI760" s="61"/>
      <c r="DJ760" s="61"/>
      <c r="DK760" s="61"/>
    </row>
    <row r="761" spans="1:115" ht="21" customHeight="1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108"/>
      <c r="N761" s="108"/>
      <c r="O761" s="108"/>
      <c r="P761" s="108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  <c r="CD761" s="61"/>
      <c r="CE761" s="61"/>
      <c r="CF761" s="61"/>
      <c r="CG761" s="61"/>
      <c r="CH761" s="61"/>
      <c r="CI761" s="61"/>
      <c r="CJ761" s="61"/>
      <c r="CK761" s="61"/>
      <c r="CL761" s="61"/>
      <c r="CM761" s="61"/>
      <c r="CN761" s="61"/>
      <c r="CO761" s="61"/>
      <c r="CP761" s="61"/>
      <c r="CQ761" s="61"/>
      <c r="CR761" s="61"/>
      <c r="CS761" s="61"/>
      <c r="CT761" s="61"/>
      <c r="CU761" s="61"/>
      <c r="CV761" s="61"/>
      <c r="CW761" s="61"/>
      <c r="CX761" s="61"/>
      <c r="CY761" s="61"/>
      <c r="CZ761" s="61"/>
      <c r="DA761" s="61"/>
      <c r="DB761" s="61"/>
      <c r="DC761" s="61"/>
      <c r="DD761" s="61"/>
      <c r="DE761" s="61"/>
      <c r="DF761" s="61"/>
      <c r="DG761" s="61"/>
      <c r="DH761" s="61"/>
      <c r="DI761" s="61"/>
      <c r="DJ761" s="61"/>
      <c r="DK761" s="61"/>
    </row>
    <row r="762" spans="1:115" ht="21" customHeight="1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108"/>
      <c r="N762" s="108"/>
      <c r="O762" s="108"/>
      <c r="P762" s="108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  <c r="CD762" s="61"/>
      <c r="CE762" s="61"/>
      <c r="CF762" s="61"/>
      <c r="CG762" s="61"/>
      <c r="CH762" s="61"/>
      <c r="CI762" s="61"/>
      <c r="CJ762" s="61"/>
      <c r="CK762" s="61"/>
      <c r="CL762" s="61"/>
      <c r="CM762" s="61"/>
      <c r="CN762" s="61"/>
      <c r="CO762" s="61"/>
      <c r="CP762" s="61"/>
      <c r="CQ762" s="61"/>
      <c r="CR762" s="61"/>
      <c r="CS762" s="61"/>
      <c r="CT762" s="61"/>
      <c r="CU762" s="61"/>
      <c r="CV762" s="61"/>
      <c r="CW762" s="61"/>
      <c r="CX762" s="61"/>
      <c r="CY762" s="61"/>
      <c r="CZ762" s="61"/>
      <c r="DA762" s="61"/>
      <c r="DB762" s="61"/>
      <c r="DC762" s="61"/>
      <c r="DD762" s="61"/>
      <c r="DE762" s="61"/>
      <c r="DF762" s="61"/>
      <c r="DG762" s="61"/>
      <c r="DH762" s="61"/>
      <c r="DI762" s="61"/>
      <c r="DJ762" s="61"/>
      <c r="DK762" s="61"/>
    </row>
    <row r="763" spans="1:115" ht="21" customHeight="1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108"/>
      <c r="N763" s="108"/>
      <c r="O763" s="108"/>
      <c r="P763" s="108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  <c r="CD763" s="61"/>
      <c r="CE763" s="61"/>
      <c r="CF763" s="61"/>
      <c r="CG763" s="61"/>
      <c r="CH763" s="61"/>
      <c r="CI763" s="61"/>
      <c r="CJ763" s="61"/>
      <c r="CK763" s="61"/>
      <c r="CL763" s="61"/>
      <c r="CM763" s="61"/>
      <c r="CN763" s="61"/>
      <c r="CO763" s="61"/>
      <c r="CP763" s="61"/>
      <c r="CQ763" s="61"/>
      <c r="CR763" s="61"/>
      <c r="CS763" s="61"/>
      <c r="CT763" s="61"/>
      <c r="CU763" s="61"/>
      <c r="CV763" s="61"/>
      <c r="CW763" s="61"/>
      <c r="CX763" s="61"/>
      <c r="CY763" s="61"/>
      <c r="CZ763" s="61"/>
      <c r="DA763" s="61"/>
      <c r="DB763" s="61"/>
      <c r="DC763" s="61"/>
      <c r="DD763" s="61"/>
      <c r="DE763" s="61"/>
      <c r="DF763" s="61"/>
      <c r="DG763" s="61"/>
      <c r="DH763" s="61"/>
      <c r="DI763" s="61"/>
      <c r="DJ763" s="61"/>
      <c r="DK763" s="61"/>
    </row>
    <row r="764" spans="1:115" ht="21" customHeight="1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108"/>
      <c r="N764" s="108"/>
      <c r="O764" s="108"/>
      <c r="P764" s="108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  <c r="CD764" s="61"/>
      <c r="CE764" s="61"/>
      <c r="CF764" s="61"/>
      <c r="CG764" s="61"/>
      <c r="CH764" s="61"/>
      <c r="CI764" s="61"/>
      <c r="CJ764" s="61"/>
      <c r="CK764" s="61"/>
      <c r="CL764" s="61"/>
      <c r="CM764" s="61"/>
      <c r="CN764" s="61"/>
      <c r="CO764" s="61"/>
      <c r="CP764" s="61"/>
      <c r="CQ764" s="61"/>
      <c r="CR764" s="61"/>
      <c r="CS764" s="61"/>
      <c r="CT764" s="61"/>
      <c r="CU764" s="61"/>
      <c r="CV764" s="61"/>
      <c r="CW764" s="61"/>
      <c r="CX764" s="61"/>
      <c r="CY764" s="61"/>
      <c r="CZ764" s="61"/>
      <c r="DA764" s="61"/>
      <c r="DB764" s="61"/>
      <c r="DC764" s="61"/>
      <c r="DD764" s="61"/>
      <c r="DE764" s="61"/>
      <c r="DF764" s="61"/>
      <c r="DG764" s="61"/>
      <c r="DH764" s="61"/>
      <c r="DI764" s="61"/>
      <c r="DJ764" s="61"/>
      <c r="DK764" s="61"/>
    </row>
    <row r="765" spans="1:115" ht="21" customHeight="1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108"/>
      <c r="N765" s="108"/>
      <c r="O765" s="108"/>
      <c r="P765" s="108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  <c r="CD765" s="61"/>
      <c r="CE765" s="61"/>
      <c r="CF765" s="61"/>
      <c r="CG765" s="61"/>
      <c r="CH765" s="61"/>
      <c r="CI765" s="61"/>
      <c r="CJ765" s="61"/>
      <c r="CK765" s="61"/>
      <c r="CL765" s="61"/>
      <c r="CM765" s="61"/>
      <c r="CN765" s="61"/>
      <c r="CO765" s="61"/>
      <c r="CP765" s="61"/>
      <c r="CQ765" s="61"/>
      <c r="CR765" s="61"/>
      <c r="CS765" s="61"/>
      <c r="CT765" s="61"/>
      <c r="CU765" s="61"/>
      <c r="CV765" s="61"/>
      <c r="CW765" s="61"/>
      <c r="CX765" s="61"/>
      <c r="CY765" s="61"/>
      <c r="CZ765" s="61"/>
      <c r="DA765" s="61"/>
      <c r="DB765" s="61"/>
      <c r="DC765" s="61"/>
      <c r="DD765" s="61"/>
      <c r="DE765" s="61"/>
      <c r="DF765" s="61"/>
      <c r="DG765" s="61"/>
      <c r="DH765" s="61"/>
      <c r="DI765" s="61"/>
      <c r="DJ765" s="61"/>
      <c r="DK765" s="61"/>
    </row>
    <row r="766" spans="1:115" ht="21" customHeight="1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108"/>
      <c r="N766" s="108"/>
      <c r="O766" s="108"/>
      <c r="P766" s="108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  <c r="CD766" s="61"/>
      <c r="CE766" s="61"/>
      <c r="CF766" s="61"/>
      <c r="CG766" s="61"/>
      <c r="CH766" s="61"/>
      <c r="CI766" s="61"/>
      <c r="CJ766" s="61"/>
      <c r="CK766" s="61"/>
      <c r="CL766" s="61"/>
      <c r="CM766" s="61"/>
      <c r="CN766" s="61"/>
      <c r="CO766" s="61"/>
      <c r="CP766" s="61"/>
      <c r="CQ766" s="61"/>
      <c r="CR766" s="61"/>
      <c r="CS766" s="61"/>
      <c r="CT766" s="61"/>
      <c r="CU766" s="61"/>
      <c r="CV766" s="61"/>
      <c r="CW766" s="61"/>
      <c r="CX766" s="61"/>
      <c r="CY766" s="61"/>
      <c r="CZ766" s="61"/>
      <c r="DA766" s="61"/>
      <c r="DB766" s="61"/>
      <c r="DC766" s="61"/>
      <c r="DD766" s="61"/>
      <c r="DE766" s="61"/>
      <c r="DF766" s="61"/>
      <c r="DG766" s="61"/>
      <c r="DH766" s="61"/>
      <c r="DI766" s="61"/>
      <c r="DJ766" s="61"/>
      <c r="DK766" s="61"/>
    </row>
    <row r="767" spans="1:115" ht="21" customHeight="1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108"/>
      <c r="N767" s="108"/>
      <c r="O767" s="108"/>
      <c r="P767" s="108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  <c r="CD767" s="61"/>
      <c r="CE767" s="61"/>
      <c r="CF767" s="61"/>
      <c r="CG767" s="61"/>
      <c r="CH767" s="61"/>
      <c r="CI767" s="61"/>
      <c r="CJ767" s="61"/>
      <c r="CK767" s="61"/>
      <c r="CL767" s="61"/>
      <c r="CM767" s="61"/>
      <c r="CN767" s="61"/>
      <c r="CO767" s="61"/>
      <c r="CP767" s="61"/>
      <c r="CQ767" s="61"/>
      <c r="CR767" s="61"/>
      <c r="CS767" s="61"/>
      <c r="CT767" s="61"/>
      <c r="CU767" s="61"/>
      <c r="CV767" s="61"/>
      <c r="CW767" s="61"/>
      <c r="CX767" s="61"/>
      <c r="CY767" s="61"/>
      <c r="CZ767" s="61"/>
      <c r="DA767" s="61"/>
      <c r="DB767" s="61"/>
      <c r="DC767" s="61"/>
      <c r="DD767" s="61"/>
      <c r="DE767" s="61"/>
      <c r="DF767" s="61"/>
      <c r="DG767" s="61"/>
      <c r="DH767" s="61"/>
      <c r="DI767" s="61"/>
      <c r="DJ767" s="61"/>
      <c r="DK767" s="61"/>
    </row>
    <row r="768" spans="1:115" ht="21" customHeight="1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108"/>
      <c r="N768" s="108"/>
      <c r="O768" s="108"/>
      <c r="P768" s="108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  <c r="CD768" s="61"/>
      <c r="CE768" s="61"/>
      <c r="CF768" s="61"/>
      <c r="CG768" s="61"/>
      <c r="CH768" s="61"/>
      <c r="CI768" s="61"/>
      <c r="CJ768" s="61"/>
      <c r="CK768" s="61"/>
      <c r="CL768" s="61"/>
      <c r="CM768" s="61"/>
      <c r="CN768" s="61"/>
      <c r="CO768" s="61"/>
      <c r="CP768" s="61"/>
      <c r="CQ768" s="61"/>
      <c r="CR768" s="61"/>
      <c r="CS768" s="61"/>
      <c r="CT768" s="61"/>
      <c r="CU768" s="61"/>
      <c r="CV768" s="61"/>
      <c r="CW768" s="61"/>
      <c r="CX768" s="61"/>
      <c r="CY768" s="61"/>
      <c r="CZ768" s="61"/>
      <c r="DA768" s="61"/>
      <c r="DB768" s="61"/>
      <c r="DC768" s="61"/>
      <c r="DD768" s="61"/>
      <c r="DE768" s="61"/>
      <c r="DF768" s="61"/>
      <c r="DG768" s="61"/>
      <c r="DH768" s="61"/>
      <c r="DI768" s="61"/>
      <c r="DJ768" s="61"/>
      <c r="DK768" s="61"/>
    </row>
    <row r="769" spans="1:115" ht="21" customHeight="1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108"/>
      <c r="N769" s="108"/>
      <c r="O769" s="108"/>
      <c r="P769" s="108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  <c r="CD769" s="61"/>
      <c r="CE769" s="61"/>
      <c r="CF769" s="61"/>
      <c r="CG769" s="61"/>
      <c r="CH769" s="61"/>
      <c r="CI769" s="61"/>
      <c r="CJ769" s="61"/>
      <c r="CK769" s="61"/>
      <c r="CL769" s="61"/>
      <c r="CM769" s="61"/>
      <c r="CN769" s="61"/>
      <c r="CO769" s="61"/>
      <c r="CP769" s="61"/>
      <c r="CQ769" s="61"/>
      <c r="CR769" s="61"/>
      <c r="CS769" s="61"/>
      <c r="CT769" s="61"/>
      <c r="CU769" s="61"/>
      <c r="CV769" s="61"/>
      <c r="CW769" s="61"/>
      <c r="CX769" s="61"/>
      <c r="CY769" s="61"/>
      <c r="CZ769" s="61"/>
      <c r="DA769" s="61"/>
      <c r="DB769" s="61"/>
      <c r="DC769" s="61"/>
      <c r="DD769" s="61"/>
      <c r="DE769" s="61"/>
      <c r="DF769" s="61"/>
      <c r="DG769" s="61"/>
      <c r="DH769" s="61"/>
      <c r="DI769" s="61"/>
      <c r="DJ769" s="61"/>
      <c r="DK769" s="61"/>
    </row>
    <row r="770" spans="1:115" ht="21" customHeight="1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108"/>
      <c r="N770" s="108"/>
      <c r="O770" s="108"/>
      <c r="P770" s="108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  <c r="CD770" s="61"/>
      <c r="CE770" s="61"/>
      <c r="CF770" s="61"/>
      <c r="CG770" s="61"/>
      <c r="CH770" s="61"/>
      <c r="CI770" s="61"/>
      <c r="CJ770" s="61"/>
      <c r="CK770" s="61"/>
      <c r="CL770" s="61"/>
      <c r="CM770" s="61"/>
      <c r="CN770" s="61"/>
      <c r="CO770" s="61"/>
      <c r="CP770" s="61"/>
      <c r="CQ770" s="61"/>
      <c r="CR770" s="61"/>
      <c r="CS770" s="61"/>
      <c r="CT770" s="61"/>
      <c r="CU770" s="61"/>
      <c r="CV770" s="61"/>
      <c r="CW770" s="61"/>
      <c r="CX770" s="61"/>
      <c r="CY770" s="61"/>
      <c r="CZ770" s="61"/>
      <c r="DA770" s="61"/>
      <c r="DB770" s="61"/>
      <c r="DC770" s="61"/>
      <c r="DD770" s="61"/>
      <c r="DE770" s="61"/>
      <c r="DF770" s="61"/>
      <c r="DG770" s="61"/>
      <c r="DH770" s="61"/>
      <c r="DI770" s="61"/>
      <c r="DJ770" s="61"/>
      <c r="DK770" s="61"/>
    </row>
    <row r="771" spans="1:115" ht="21" customHeight="1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108"/>
      <c r="N771" s="108"/>
      <c r="O771" s="108"/>
      <c r="P771" s="108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  <c r="CD771" s="61"/>
      <c r="CE771" s="61"/>
      <c r="CF771" s="61"/>
      <c r="CG771" s="61"/>
      <c r="CH771" s="61"/>
      <c r="CI771" s="61"/>
      <c r="CJ771" s="61"/>
      <c r="CK771" s="61"/>
      <c r="CL771" s="61"/>
      <c r="CM771" s="61"/>
      <c r="CN771" s="61"/>
      <c r="CO771" s="61"/>
      <c r="CP771" s="61"/>
      <c r="CQ771" s="61"/>
      <c r="CR771" s="61"/>
      <c r="CS771" s="61"/>
      <c r="CT771" s="61"/>
      <c r="CU771" s="61"/>
      <c r="CV771" s="61"/>
      <c r="CW771" s="61"/>
      <c r="CX771" s="61"/>
      <c r="CY771" s="61"/>
      <c r="CZ771" s="61"/>
      <c r="DA771" s="61"/>
      <c r="DB771" s="61"/>
      <c r="DC771" s="61"/>
      <c r="DD771" s="61"/>
      <c r="DE771" s="61"/>
      <c r="DF771" s="61"/>
      <c r="DG771" s="61"/>
      <c r="DH771" s="61"/>
      <c r="DI771" s="61"/>
      <c r="DJ771" s="61"/>
      <c r="DK771" s="61"/>
    </row>
    <row r="772" spans="1:115" ht="21" customHeight="1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108"/>
      <c r="N772" s="108"/>
      <c r="O772" s="108"/>
      <c r="P772" s="108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  <c r="CD772" s="61"/>
      <c r="CE772" s="61"/>
      <c r="CF772" s="61"/>
      <c r="CG772" s="61"/>
      <c r="CH772" s="61"/>
      <c r="CI772" s="61"/>
      <c r="CJ772" s="61"/>
      <c r="CK772" s="61"/>
      <c r="CL772" s="61"/>
      <c r="CM772" s="61"/>
      <c r="CN772" s="61"/>
      <c r="CO772" s="61"/>
      <c r="CP772" s="61"/>
      <c r="CQ772" s="61"/>
      <c r="CR772" s="61"/>
      <c r="CS772" s="61"/>
      <c r="CT772" s="61"/>
      <c r="CU772" s="61"/>
      <c r="CV772" s="61"/>
      <c r="CW772" s="61"/>
      <c r="CX772" s="61"/>
      <c r="CY772" s="61"/>
      <c r="CZ772" s="61"/>
      <c r="DA772" s="61"/>
      <c r="DB772" s="61"/>
      <c r="DC772" s="61"/>
      <c r="DD772" s="61"/>
      <c r="DE772" s="61"/>
      <c r="DF772" s="61"/>
      <c r="DG772" s="61"/>
      <c r="DH772" s="61"/>
      <c r="DI772" s="61"/>
      <c r="DJ772" s="61"/>
      <c r="DK772" s="61"/>
    </row>
    <row r="773" spans="1:115" ht="21" customHeight="1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108"/>
      <c r="N773" s="108"/>
      <c r="O773" s="108"/>
      <c r="P773" s="108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  <c r="CD773" s="61"/>
      <c r="CE773" s="61"/>
      <c r="CF773" s="61"/>
      <c r="CG773" s="61"/>
      <c r="CH773" s="61"/>
      <c r="CI773" s="61"/>
      <c r="CJ773" s="61"/>
      <c r="CK773" s="61"/>
      <c r="CL773" s="61"/>
      <c r="CM773" s="61"/>
      <c r="CN773" s="61"/>
      <c r="CO773" s="61"/>
      <c r="CP773" s="61"/>
      <c r="CQ773" s="61"/>
      <c r="CR773" s="61"/>
      <c r="CS773" s="61"/>
      <c r="CT773" s="61"/>
      <c r="CU773" s="61"/>
      <c r="CV773" s="61"/>
      <c r="CW773" s="61"/>
      <c r="CX773" s="61"/>
      <c r="CY773" s="61"/>
      <c r="CZ773" s="61"/>
      <c r="DA773" s="61"/>
      <c r="DB773" s="61"/>
      <c r="DC773" s="61"/>
      <c r="DD773" s="61"/>
      <c r="DE773" s="61"/>
      <c r="DF773" s="61"/>
      <c r="DG773" s="61"/>
      <c r="DH773" s="61"/>
      <c r="DI773" s="61"/>
      <c r="DJ773" s="61"/>
      <c r="DK773" s="61"/>
    </row>
    <row r="774" spans="1:115" ht="21" customHeight="1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108"/>
      <c r="N774" s="108"/>
      <c r="O774" s="108"/>
      <c r="P774" s="108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  <c r="CD774" s="61"/>
      <c r="CE774" s="61"/>
      <c r="CF774" s="61"/>
      <c r="CG774" s="61"/>
      <c r="CH774" s="61"/>
      <c r="CI774" s="61"/>
      <c r="CJ774" s="61"/>
      <c r="CK774" s="61"/>
      <c r="CL774" s="61"/>
      <c r="CM774" s="61"/>
      <c r="CN774" s="61"/>
      <c r="CO774" s="61"/>
      <c r="CP774" s="61"/>
      <c r="CQ774" s="61"/>
      <c r="CR774" s="61"/>
      <c r="CS774" s="61"/>
      <c r="CT774" s="61"/>
      <c r="CU774" s="61"/>
      <c r="CV774" s="61"/>
      <c r="CW774" s="61"/>
      <c r="CX774" s="61"/>
      <c r="CY774" s="61"/>
      <c r="CZ774" s="61"/>
      <c r="DA774" s="61"/>
      <c r="DB774" s="61"/>
      <c r="DC774" s="61"/>
      <c r="DD774" s="61"/>
      <c r="DE774" s="61"/>
      <c r="DF774" s="61"/>
      <c r="DG774" s="61"/>
      <c r="DH774" s="61"/>
      <c r="DI774" s="61"/>
      <c r="DJ774" s="61"/>
      <c r="DK774" s="61"/>
    </row>
    <row r="775" spans="1:115" ht="21" customHeight="1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108"/>
      <c r="N775" s="108"/>
      <c r="O775" s="108"/>
      <c r="P775" s="108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  <c r="CD775" s="61"/>
      <c r="CE775" s="61"/>
      <c r="CF775" s="61"/>
      <c r="CG775" s="61"/>
      <c r="CH775" s="61"/>
      <c r="CI775" s="61"/>
      <c r="CJ775" s="61"/>
      <c r="CK775" s="61"/>
      <c r="CL775" s="61"/>
      <c r="CM775" s="61"/>
      <c r="CN775" s="61"/>
      <c r="CO775" s="61"/>
      <c r="CP775" s="61"/>
      <c r="CQ775" s="61"/>
      <c r="CR775" s="61"/>
      <c r="CS775" s="61"/>
      <c r="CT775" s="61"/>
      <c r="CU775" s="61"/>
      <c r="CV775" s="61"/>
      <c r="CW775" s="61"/>
      <c r="CX775" s="61"/>
      <c r="CY775" s="61"/>
      <c r="CZ775" s="61"/>
      <c r="DA775" s="61"/>
      <c r="DB775" s="61"/>
      <c r="DC775" s="61"/>
      <c r="DD775" s="61"/>
      <c r="DE775" s="61"/>
      <c r="DF775" s="61"/>
      <c r="DG775" s="61"/>
      <c r="DH775" s="61"/>
      <c r="DI775" s="61"/>
      <c r="DJ775" s="61"/>
      <c r="DK775" s="61"/>
    </row>
    <row r="776" spans="1:115" ht="21" customHeight="1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108"/>
      <c r="N776" s="108"/>
      <c r="O776" s="108"/>
      <c r="P776" s="108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  <c r="CD776" s="61"/>
      <c r="CE776" s="61"/>
      <c r="CF776" s="61"/>
      <c r="CG776" s="61"/>
      <c r="CH776" s="61"/>
      <c r="CI776" s="61"/>
      <c r="CJ776" s="61"/>
      <c r="CK776" s="61"/>
      <c r="CL776" s="61"/>
      <c r="CM776" s="61"/>
      <c r="CN776" s="61"/>
      <c r="CO776" s="61"/>
      <c r="CP776" s="61"/>
      <c r="CQ776" s="61"/>
      <c r="CR776" s="61"/>
      <c r="CS776" s="61"/>
      <c r="CT776" s="61"/>
      <c r="CU776" s="61"/>
      <c r="CV776" s="61"/>
      <c r="CW776" s="61"/>
      <c r="CX776" s="61"/>
      <c r="CY776" s="61"/>
      <c r="CZ776" s="61"/>
      <c r="DA776" s="61"/>
      <c r="DB776" s="61"/>
      <c r="DC776" s="61"/>
      <c r="DD776" s="61"/>
      <c r="DE776" s="61"/>
      <c r="DF776" s="61"/>
      <c r="DG776" s="61"/>
      <c r="DH776" s="61"/>
      <c r="DI776" s="61"/>
      <c r="DJ776" s="61"/>
      <c r="DK776" s="61"/>
    </row>
    <row r="777" spans="1:115" ht="21" customHeight="1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108"/>
      <c r="N777" s="108"/>
      <c r="O777" s="108"/>
      <c r="P777" s="108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  <c r="CD777" s="61"/>
      <c r="CE777" s="61"/>
      <c r="CF777" s="61"/>
      <c r="CG777" s="61"/>
      <c r="CH777" s="61"/>
      <c r="CI777" s="61"/>
      <c r="CJ777" s="61"/>
      <c r="CK777" s="61"/>
      <c r="CL777" s="61"/>
      <c r="CM777" s="61"/>
      <c r="CN777" s="61"/>
      <c r="CO777" s="61"/>
      <c r="CP777" s="61"/>
      <c r="CQ777" s="61"/>
      <c r="CR777" s="61"/>
      <c r="CS777" s="61"/>
      <c r="CT777" s="61"/>
      <c r="CU777" s="61"/>
      <c r="CV777" s="61"/>
      <c r="CW777" s="61"/>
      <c r="CX777" s="61"/>
      <c r="CY777" s="61"/>
      <c r="CZ777" s="61"/>
      <c r="DA777" s="61"/>
      <c r="DB777" s="61"/>
      <c r="DC777" s="61"/>
      <c r="DD777" s="61"/>
      <c r="DE777" s="61"/>
      <c r="DF777" s="61"/>
      <c r="DG777" s="61"/>
      <c r="DH777" s="61"/>
      <c r="DI777" s="61"/>
      <c r="DJ777" s="61"/>
      <c r="DK777" s="61"/>
    </row>
    <row r="778" spans="1:115" ht="21" customHeight="1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108"/>
      <c r="N778" s="108"/>
      <c r="O778" s="108"/>
      <c r="P778" s="108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  <c r="CD778" s="61"/>
      <c r="CE778" s="61"/>
      <c r="CF778" s="61"/>
      <c r="CG778" s="61"/>
      <c r="CH778" s="61"/>
      <c r="CI778" s="61"/>
      <c r="CJ778" s="61"/>
      <c r="CK778" s="61"/>
      <c r="CL778" s="61"/>
      <c r="CM778" s="61"/>
      <c r="CN778" s="61"/>
      <c r="CO778" s="61"/>
      <c r="CP778" s="61"/>
      <c r="CQ778" s="61"/>
      <c r="CR778" s="61"/>
      <c r="CS778" s="61"/>
      <c r="CT778" s="61"/>
      <c r="CU778" s="61"/>
      <c r="CV778" s="61"/>
      <c r="CW778" s="61"/>
      <c r="CX778" s="61"/>
      <c r="CY778" s="61"/>
      <c r="CZ778" s="61"/>
      <c r="DA778" s="61"/>
      <c r="DB778" s="61"/>
      <c r="DC778" s="61"/>
      <c r="DD778" s="61"/>
      <c r="DE778" s="61"/>
      <c r="DF778" s="61"/>
      <c r="DG778" s="61"/>
      <c r="DH778" s="61"/>
      <c r="DI778" s="61"/>
      <c r="DJ778" s="61"/>
      <c r="DK778" s="61"/>
    </row>
    <row r="779" spans="1:115" ht="21" customHeight="1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108"/>
      <c r="N779" s="108"/>
      <c r="O779" s="108"/>
      <c r="P779" s="108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  <c r="CD779" s="61"/>
      <c r="CE779" s="61"/>
      <c r="CF779" s="61"/>
      <c r="CG779" s="61"/>
      <c r="CH779" s="61"/>
      <c r="CI779" s="61"/>
      <c r="CJ779" s="61"/>
      <c r="CK779" s="61"/>
      <c r="CL779" s="61"/>
      <c r="CM779" s="61"/>
      <c r="CN779" s="61"/>
      <c r="CO779" s="61"/>
      <c r="CP779" s="61"/>
      <c r="CQ779" s="61"/>
      <c r="CR779" s="61"/>
      <c r="CS779" s="61"/>
      <c r="CT779" s="61"/>
      <c r="CU779" s="61"/>
      <c r="CV779" s="61"/>
      <c r="CW779" s="61"/>
      <c r="CX779" s="61"/>
      <c r="CY779" s="61"/>
      <c r="CZ779" s="61"/>
      <c r="DA779" s="61"/>
      <c r="DB779" s="61"/>
      <c r="DC779" s="61"/>
      <c r="DD779" s="61"/>
      <c r="DE779" s="61"/>
      <c r="DF779" s="61"/>
      <c r="DG779" s="61"/>
      <c r="DH779" s="61"/>
      <c r="DI779" s="61"/>
      <c r="DJ779" s="61"/>
      <c r="DK779" s="61"/>
    </row>
    <row r="780" spans="1:115" ht="21" customHeight="1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108"/>
      <c r="N780" s="108"/>
      <c r="O780" s="108"/>
      <c r="P780" s="108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  <c r="CM780" s="61"/>
      <c r="CN780" s="61"/>
      <c r="CO780" s="61"/>
      <c r="CP780" s="61"/>
      <c r="CQ780" s="61"/>
      <c r="CR780" s="61"/>
      <c r="CS780" s="61"/>
      <c r="CT780" s="61"/>
      <c r="CU780" s="61"/>
      <c r="CV780" s="61"/>
      <c r="CW780" s="61"/>
      <c r="CX780" s="61"/>
      <c r="CY780" s="61"/>
      <c r="CZ780" s="61"/>
      <c r="DA780" s="61"/>
      <c r="DB780" s="61"/>
      <c r="DC780" s="61"/>
      <c r="DD780" s="61"/>
      <c r="DE780" s="61"/>
      <c r="DF780" s="61"/>
      <c r="DG780" s="61"/>
      <c r="DH780" s="61"/>
      <c r="DI780" s="61"/>
      <c r="DJ780" s="61"/>
      <c r="DK780" s="61"/>
    </row>
    <row r="781" spans="1:115" ht="21" customHeight="1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108"/>
      <c r="N781" s="108"/>
      <c r="O781" s="108"/>
      <c r="P781" s="108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  <c r="CD781" s="61"/>
      <c r="CE781" s="61"/>
      <c r="CF781" s="61"/>
      <c r="CG781" s="61"/>
      <c r="CH781" s="61"/>
      <c r="CI781" s="61"/>
      <c r="CJ781" s="61"/>
      <c r="CK781" s="61"/>
      <c r="CL781" s="61"/>
      <c r="CM781" s="61"/>
      <c r="CN781" s="61"/>
      <c r="CO781" s="61"/>
      <c r="CP781" s="61"/>
      <c r="CQ781" s="61"/>
      <c r="CR781" s="61"/>
      <c r="CS781" s="61"/>
      <c r="CT781" s="61"/>
      <c r="CU781" s="61"/>
      <c r="CV781" s="61"/>
      <c r="CW781" s="61"/>
      <c r="CX781" s="61"/>
      <c r="CY781" s="61"/>
      <c r="CZ781" s="61"/>
      <c r="DA781" s="61"/>
      <c r="DB781" s="61"/>
      <c r="DC781" s="61"/>
      <c r="DD781" s="61"/>
      <c r="DE781" s="61"/>
      <c r="DF781" s="61"/>
      <c r="DG781" s="61"/>
      <c r="DH781" s="61"/>
      <c r="DI781" s="61"/>
      <c r="DJ781" s="61"/>
      <c r="DK781" s="61"/>
    </row>
    <row r="782" spans="1:115" ht="21" customHeight="1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108"/>
      <c r="N782" s="108"/>
      <c r="O782" s="108"/>
      <c r="P782" s="108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  <c r="CD782" s="61"/>
      <c r="CE782" s="61"/>
      <c r="CF782" s="61"/>
      <c r="CG782" s="61"/>
      <c r="CH782" s="61"/>
      <c r="CI782" s="61"/>
      <c r="CJ782" s="61"/>
      <c r="CK782" s="61"/>
      <c r="CL782" s="61"/>
      <c r="CM782" s="61"/>
      <c r="CN782" s="61"/>
      <c r="CO782" s="61"/>
      <c r="CP782" s="61"/>
      <c r="CQ782" s="61"/>
      <c r="CR782" s="61"/>
      <c r="CS782" s="61"/>
      <c r="CT782" s="61"/>
      <c r="CU782" s="61"/>
      <c r="CV782" s="61"/>
      <c r="CW782" s="61"/>
      <c r="CX782" s="61"/>
      <c r="CY782" s="61"/>
      <c r="CZ782" s="61"/>
      <c r="DA782" s="61"/>
      <c r="DB782" s="61"/>
      <c r="DC782" s="61"/>
      <c r="DD782" s="61"/>
      <c r="DE782" s="61"/>
      <c r="DF782" s="61"/>
      <c r="DG782" s="61"/>
      <c r="DH782" s="61"/>
      <c r="DI782" s="61"/>
      <c r="DJ782" s="61"/>
      <c r="DK782" s="61"/>
    </row>
    <row r="783" spans="1:115" ht="21" customHeight="1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108"/>
      <c r="N783" s="108"/>
      <c r="O783" s="108"/>
      <c r="P783" s="108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  <c r="CD783" s="61"/>
      <c r="CE783" s="61"/>
      <c r="CF783" s="61"/>
      <c r="CG783" s="61"/>
      <c r="CH783" s="61"/>
      <c r="CI783" s="61"/>
      <c r="CJ783" s="61"/>
      <c r="CK783" s="61"/>
      <c r="CL783" s="61"/>
      <c r="CM783" s="61"/>
      <c r="CN783" s="61"/>
      <c r="CO783" s="61"/>
      <c r="CP783" s="61"/>
      <c r="CQ783" s="61"/>
      <c r="CR783" s="61"/>
      <c r="CS783" s="61"/>
      <c r="CT783" s="61"/>
      <c r="CU783" s="61"/>
      <c r="CV783" s="61"/>
      <c r="CW783" s="61"/>
      <c r="CX783" s="61"/>
      <c r="CY783" s="61"/>
      <c r="CZ783" s="61"/>
      <c r="DA783" s="61"/>
      <c r="DB783" s="61"/>
      <c r="DC783" s="61"/>
      <c r="DD783" s="61"/>
      <c r="DE783" s="61"/>
      <c r="DF783" s="61"/>
      <c r="DG783" s="61"/>
      <c r="DH783" s="61"/>
      <c r="DI783" s="61"/>
      <c r="DJ783" s="61"/>
      <c r="DK783" s="61"/>
    </row>
    <row r="784" spans="1:115" ht="21" customHeight="1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108"/>
      <c r="N784" s="108"/>
      <c r="O784" s="108"/>
      <c r="P784" s="108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  <c r="CD784" s="61"/>
      <c r="CE784" s="61"/>
      <c r="CF784" s="61"/>
      <c r="CG784" s="61"/>
      <c r="CH784" s="61"/>
      <c r="CI784" s="61"/>
      <c r="CJ784" s="61"/>
      <c r="CK784" s="61"/>
      <c r="CL784" s="61"/>
      <c r="CM784" s="61"/>
      <c r="CN784" s="61"/>
      <c r="CO784" s="61"/>
      <c r="CP784" s="61"/>
      <c r="CQ784" s="61"/>
      <c r="CR784" s="61"/>
      <c r="CS784" s="61"/>
      <c r="CT784" s="61"/>
      <c r="CU784" s="61"/>
      <c r="CV784" s="61"/>
      <c r="CW784" s="61"/>
      <c r="CX784" s="61"/>
      <c r="CY784" s="61"/>
      <c r="CZ784" s="61"/>
      <c r="DA784" s="61"/>
      <c r="DB784" s="61"/>
      <c r="DC784" s="61"/>
      <c r="DD784" s="61"/>
      <c r="DE784" s="61"/>
      <c r="DF784" s="61"/>
      <c r="DG784" s="61"/>
      <c r="DH784" s="61"/>
      <c r="DI784" s="61"/>
      <c r="DJ784" s="61"/>
      <c r="DK784" s="61"/>
    </row>
    <row r="785" spans="1:115" ht="21" customHeight="1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108"/>
      <c r="N785" s="108"/>
      <c r="O785" s="108"/>
      <c r="P785" s="108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  <c r="CD785" s="61"/>
      <c r="CE785" s="61"/>
      <c r="CF785" s="61"/>
      <c r="CG785" s="61"/>
      <c r="CH785" s="61"/>
      <c r="CI785" s="61"/>
      <c r="CJ785" s="61"/>
      <c r="CK785" s="61"/>
      <c r="CL785" s="61"/>
      <c r="CM785" s="61"/>
      <c r="CN785" s="61"/>
      <c r="CO785" s="61"/>
      <c r="CP785" s="61"/>
      <c r="CQ785" s="61"/>
      <c r="CR785" s="61"/>
      <c r="CS785" s="61"/>
      <c r="CT785" s="61"/>
      <c r="CU785" s="61"/>
      <c r="CV785" s="61"/>
      <c r="CW785" s="61"/>
      <c r="CX785" s="61"/>
      <c r="CY785" s="61"/>
      <c r="CZ785" s="61"/>
      <c r="DA785" s="61"/>
      <c r="DB785" s="61"/>
      <c r="DC785" s="61"/>
      <c r="DD785" s="61"/>
      <c r="DE785" s="61"/>
      <c r="DF785" s="61"/>
      <c r="DG785" s="61"/>
      <c r="DH785" s="61"/>
      <c r="DI785" s="61"/>
      <c r="DJ785" s="61"/>
      <c r="DK785" s="61"/>
    </row>
    <row r="786" spans="1:115" ht="21" customHeight="1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108"/>
      <c r="N786" s="108"/>
      <c r="O786" s="108"/>
      <c r="P786" s="108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  <c r="CD786" s="61"/>
      <c r="CE786" s="61"/>
      <c r="CF786" s="61"/>
      <c r="CG786" s="61"/>
      <c r="CH786" s="61"/>
      <c r="CI786" s="61"/>
      <c r="CJ786" s="61"/>
      <c r="CK786" s="61"/>
      <c r="CL786" s="61"/>
      <c r="CM786" s="61"/>
      <c r="CN786" s="61"/>
      <c r="CO786" s="61"/>
      <c r="CP786" s="61"/>
      <c r="CQ786" s="61"/>
      <c r="CR786" s="61"/>
      <c r="CS786" s="61"/>
      <c r="CT786" s="61"/>
      <c r="CU786" s="61"/>
      <c r="CV786" s="61"/>
      <c r="CW786" s="61"/>
      <c r="CX786" s="61"/>
      <c r="CY786" s="61"/>
      <c r="CZ786" s="61"/>
      <c r="DA786" s="61"/>
      <c r="DB786" s="61"/>
      <c r="DC786" s="61"/>
      <c r="DD786" s="61"/>
      <c r="DE786" s="61"/>
      <c r="DF786" s="61"/>
      <c r="DG786" s="61"/>
      <c r="DH786" s="61"/>
      <c r="DI786" s="61"/>
      <c r="DJ786" s="61"/>
      <c r="DK786" s="61"/>
    </row>
    <row r="787" spans="1:115" ht="21" customHeight="1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108"/>
      <c r="N787" s="108"/>
      <c r="O787" s="108"/>
      <c r="P787" s="108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  <c r="CD787" s="61"/>
      <c r="CE787" s="61"/>
      <c r="CF787" s="61"/>
      <c r="CG787" s="61"/>
      <c r="CH787" s="61"/>
      <c r="CI787" s="61"/>
      <c r="CJ787" s="61"/>
      <c r="CK787" s="61"/>
      <c r="CL787" s="61"/>
      <c r="CM787" s="61"/>
      <c r="CN787" s="61"/>
      <c r="CO787" s="61"/>
      <c r="CP787" s="61"/>
      <c r="CQ787" s="61"/>
      <c r="CR787" s="61"/>
      <c r="CS787" s="61"/>
      <c r="CT787" s="61"/>
      <c r="CU787" s="61"/>
      <c r="CV787" s="61"/>
      <c r="CW787" s="61"/>
      <c r="CX787" s="61"/>
      <c r="CY787" s="61"/>
      <c r="CZ787" s="61"/>
      <c r="DA787" s="61"/>
      <c r="DB787" s="61"/>
      <c r="DC787" s="61"/>
      <c r="DD787" s="61"/>
      <c r="DE787" s="61"/>
      <c r="DF787" s="61"/>
      <c r="DG787" s="61"/>
      <c r="DH787" s="61"/>
      <c r="DI787" s="61"/>
      <c r="DJ787" s="61"/>
      <c r="DK787" s="61"/>
    </row>
    <row r="788" spans="1:115" ht="21" customHeight="1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108"/>
      <c r="N788" s="108"/>
      <c r="O788" s="108"/>
      <c r="P788" s="108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  <c r="CN788" s="61"/>
      <c r="CO788" s="61"/>
      <c r="CP788" s="61"/>
      <c r="CQ788" s="61"/>
      <c r="CR788" s="61"/>
      <c r="CS788" s="61"/>
      <c r="CT788" s="61"/>
      <c r="CU788" s="61"/>
      <c r="CV788" s="61"/>
      <c r="CW788" s="61"/>
      <c r="CX788" s="61"/>
      <c r="CY788" s="61"/>
      <c r="CZ788" s="61"/>
      <c r="DA788" s="61"/>
      <c r="DB788" s="61"/>
      <c r="DC788" s="61"/>
      <c r="DD788" s="61"/>
      <c r="DE788" s="61"/>
      <c r="DF788" s="61"/>
      <c r="DG788" s="61"/>
      <c r="DH788" s="61"/>
      <c r="DI788" s="61"/>
      <c r="DJ788" s="61"/>
      <c r="DK788" s="61"/>
    </row>
    <row r="789" spans="1:115" ht="21" customHeight="1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108"/>
      <c r="N789" s="108"/>
      <c r="O789" s="108"/>
      <c r="P789" s="108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  <c r="CN789" s="61"/>
      <c r="CO789" s="61"/>
      <c r="CP789" s="61"/>
      <c r="CQ789" s="61"/>
      <c r="CR789" s="61"/>
      <c r="CS789" s="61"/>
      <c r="CT789" s="61"/>
      <c r="CU789" s="61"/>
      <c r="CV789" s="61"/>
      <c r="CW789" s="61"/>
      <c r="CX789" s="61"/>
      <c r="CY789" s="61"/>
      <c r="CZ789" s="61"/>
      <c r="DA789" s="61"/>
      <c r="DB789" s="61"/>
      <c r="DC789" s="61"/>
      <c r="DD789" s="61"/>
      <c r="DE789" s="61"/>
      <c r="DF789" s="61"/>
      <c r="DG789" s="61"/>
      <c r="DH789" s="61"/>
      <c r="DI789" s="61"/>
      <c r="DJ789" s="61"/>
      <c r="DK789" s="61"/>
    </row>
    <row r="790" spans="1:115" ht="21" customHeight="1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108"/>
      <c r="N790" s="108"/>
      <c r="O790" s="108"/>
      <c r="P790" s="108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  <c r="CN790" s="61"/>
      <c r="CO790" s="61"/>
      <c r="CP790" s="61"/>
      <c r="CQ790" s="61"/>
      <c r="CR790" s="61"/>
      <c r="CS790" s="61"/>
      <c r="CT790" s="61"/>
      <c r="CU790" s="61"/>
      <c r="CV790" s="61"/>
      <c r="CW790" s="61"/>
      <c r="CX790" s="61"/>
      <c r="CY790" s="61"/>
      <c r="CZ790" s="61"/>
      <c r="DA790" s="61"/>
      <c r="DB790" s="61"/>
      <c r="DC790" s="61"/>
      <c r="DD790" s="61"/>
      <c r="DE790" s="61"/>
      <c r="DF790" s="61"/>
      <c r="DG790" s="61"/>
      <c r="DH790" s="61"/>
      <c r="DI790" s="61"/>
      <c r="DJ790" s="61"/>
      <c r="DK790" s="61"/>
    </row>
    <row r="791" spans="1:115" ht="21" customHeight="1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108"/>
      <c r="N791" s="108"/>
      <c r="O791" s="108"/>
      <c r="P791" s="108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  <c r="CD791" s="61"/>
      <c r="CE791" s="61"/>
      <c r="CF791" s="61"/>
      <c r="CG791" s="61"/>
      <c r="CH791" s="61"/>
      <c r="CI791" s="61"/>
      <c r="CJ791" s="61"/>
      <c r="CK791" s="61"/>
      <c r="CL791" s="61"/>
      <c r="CM791" s="61"/>
      <c r="CN791" s="61"/>
      <c r="CO791" s="61"/>
      <c r="CP791" s="61"/>
      <c r="CQ791" s="61"/>
      <c r="CR791" s="61"/>
      <c r="CS791" s="61"/>
      <c r="CT791" s="61"/>
      <c r="CU791" s="61"/>
      <c r="CV791" s="61"/>
      <c r="CW791" s="61"/>
      <c r="CX791" s="61"/>
      <c r="CY791" s="61"/>
      <c r="CZ791" s="61"/>
      <c r="DA791" s="61"/>
      <c r="DB791" s="61"/>
      <c r="DC791" s="61"/>
      <c r="DD791" s="61"/>
      <c r="DE791" s="61"/>
      <c r="DF791" s="61"/>
      <c r="DG791" s="61"/>
      <c r="DH791" s="61"/>
      <c r="DI791" s="61"/>
      <c r="DJ791" s="61"/>
      <c r="DK791" s="61"/>
    </row>
    <row r="792" spans="1:115" ht="21" customHeight="1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108"/>
      <c r="N792" s="108"/>
      <c r="O792" s="108"/>
      <c r="P792" s="108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  <c r="CD792" s="61"/>
      <c r="CE792" s="61"/>
      <c r="CF792" s="61"/>
      <c r="CG792" s="61"/>
      <c r="CH792" s="61"/>
      <c r="CI792" s="61"/>
      <c r="CJ792" s="61"/>
      <c r="CK792" s="61"/>
      <c r="CL792" s="61"/>
      <c r="CM792" s="61"/>
      <c r="CN792" s="61"/>
      <c r="CO792" s="61"/>
      <c r="CP792" s="61"/>
      <c r="CQ792" s="61"/>
      <c r="CR792" s="61"/>
      <c r="CS792" s="61"/>
      <c r="CT792" s="61"/>
      <c r="CU792" s="61"/>
      <c r="CV792" s="61"/>
      <c r="CW792" s="61"/>
      <c r="CX792" s="61"/>
      <c r="CY792" s="61"/>
      <c r="CZ792" s="61"/>
      <c r="DA792" s="61"/>
      <c r="DB792" s="61"/>
      <c r="DC792" s="61"/>
      <c r="DD792" s="61"/>
      <c r="DE792" s="61"/>
      <c r="DF792" s="61"/>
      <c r="DG792" s="61"/>
      <c r="DH792" s="61"/>
      <c r="DI792" s="61"/>
      <c r="DJ792" s="61"/>
      <c r="DK792" s="61"/>
    </row>
    <row r="793" spans="1:115" ht="21" customHeight="1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108"/>
      <c r="N793" s="108"/>
      <c r="O793" s="108"/>
      <c r="P793" s="108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  <c r="CD793" s="61"/>
      <c r="CE793" s="61"/>
      <c r="CF793" s="61"/>
      <c r="CG793" s="61"/>
      <c r="CH793" s="61"/>
      <c r="CI793" s="61"/>
      <c r="CJ793" s="61"/>
      <c r="CK793" s="61"/>
      <c r="CL793" s="61"/>
      <c r="CM793" s="61"/>
      <c r="CN793" s="61"/>
      <c r="CO793" s="61"/>
      <c r="CP793" s="61"/>
      <c r="CQ793" s="61"/>
      <c r="CR793" s="61"/>
      <c r="CS793" s="61"/>
      <c r="CT793" s="61"/>
      <c r="CU793" s="61"/>
      <c r="CV793" s="61"/>
      <c r="CW793" s="61"/>
      <c r="CX793" s="61"/>
      <c r="CY793" s="61"/>
      <c r="CZ793" s="61"/>
      <c r="DA793" s="61"/>
      <c r="DB793" s="61"/>
      <c r="DC793" s="61"/>
      <c r="DD793" s="61"/>
      <c r="DE793" s="61"/>
      <c r="DF793" s="61"/>
      <c r="DG793" s="61"/>
      <c r="DH793" s="61"/>
      <c r="DI793" s="61"/>
      <c r="DJ793" s="61"/>
      <c r="DK793" s="61"/>
    </row>
    <row r="794" spans="1:115" ht="21" customHeight="1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108"/>
      <c r="N794" s="108"/>
      <c r="O794" s="108"/>
      <c r="P794" s="108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  <c r="CD794" s="61"/>
      <c r="CE794" s="61"/>
      <c r="CF794" s="61"/>
      <c r="CG794" s="61"/>
      <c r="CH794" s="61"/>
      <c r="CI794" s="61"/>
      <c r="CJ794" s="61"/>
      <c r="CK794" s="61"/>
      <c r="CL794" s="61"/>
      <c r="CM794" s="61"/>
      <c r="CN794" s="61"/>
      <c r="CO794" s="61"/>
      <c r="CP794" s="61"/>
      <c r="CQ794" s="61"/>
      <c r="CR794" s="61"/>
      <c r="CS794" s="61"/>
      <c r="CT794" s="61"/>
      <c r="CU794" s="61"/>
      <c r="CV794" s="61"/>
      <c r="CW794" s="61"/>
      <c r="CX794" s="61"/>
      <c r="CY794" s="61"/>
      <c r="CZ794" s="61"/>
      <c r="DA794" s="61"/>
      <c r="DB794" s="61"/>
      <c r="DC794" s="61"/>
      <c r="DD794" s="61"/>
      <c r="DE794" s="61"/>
      <c r="DF794" s="61"/>
      <c r="DG794" s="61"/>
      <c r="DH794" s="61"/>
      <c r="DI794" s="61"/>
      <c r="DJ794" s="61"/>
      <c r="DK794" s="61"/>
    </row>
    <row r="795" spans="1:115" ht="21" customHeight="1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108"/>
      <c r="N795" s="108"/>
      <c r="O795" s="108"/>
      <c r="P795" s="108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  <c r="CD795" s="61"/>
      <c r="CE795" s="61"/>
      <c r="CF795" s="61"/>
      <c r="CG795" s="61"/>
      <c r="CH795" s="61"/>
      <c r="CI795" s="61"/>
      <c r="CJ795" s="61"/>
      <c r="CK795" s="61"/>
      <c r="CL795" s="61"/>
      <c r="CM795" s="61"/>
      <c r="CN795" s="61"/>
      <c r="CO795" s="61"/>
      <c r="CP795" s="61"/>
      <c r="CQ795" s="61"/>
      <c r="CR795" s="61"/>
      <c r="CS795" s="61"/>
      <c r="CT795" s="61"/>
      <c r="CU795" s="61"/>
      <c r="CV795" s="61"/>
      <c r="CW795" s="61"/>
      <c r="CX795" s="61"/>
      <c r="CY795" s="61"/>
      <c r="CZ795" s="61"/>
      <c r="DA795" s="61"/>
      <c r="DB795" s="61"/>
      <c r="DC795" s="61"/>
      <c r="DD795" s="61"/>
      <c r="DE795" s="61"/>
      <c r="DF795" s="61"/>
      <c r="DG795" s="61"/>
      <c r="DH795" s="61"/>
      <c r="DI795" s="61"/>
      <c r="DJ795" s="61"/>
      <c r="DK795" s="61"/>
    </row>
    <row r="796" spans="1:115" ht="21" customHeight="1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108"/>
      <c r="N796" s="108"/>
      <c r="O796" s="108"/>
      <c r="P796" s="108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  <c r="CD796" s="61"/>
      <c r="CE796" s="61"/>
      <c r="CF796" s="61"/>
      <c r="CG796" s="61"/>
      <c r="CH796" s="61"/>
      <c r="CI796" s="61"/>
      <c r="CJ796" s="61"/>
      <c r="CK796" s="61"/>
      <c r="CL796" s="61"/>
      <c r="CM796" s="61"/>
      <c r="CN796" s="61"/>
      <c r="CO796" s="61"/>
      <c r="CP796" s="61"/>
      <c r="CQ796" s="61"/>
      <c r="CR796" s="61"/>
      <c r="CS796" s="61"/>
      <c r="CT796" s="61"/>
      <c r="CU796" s="61"/>
      <c r="CV796" s="61"/>
      <c r="CW796" s="61"/>
      <c r="CX796" s="61"/>
      <c r="CY796" s="61"/>
      <c r="CZ796" s="61"/>
      <c r="DA796" s="61"/>
      <c r="DB796" s="61"/>
      <c r="DC796" s="61"/>
      <c r="DD796" s="61"/>
      <c r="DE796" s="61"/>
      <c r="DF796" s="61"/>
      <c r="DG796" s="61"/>
      <c r="DH796" s="61"/>
      <c r="DI796" s="61"/>
      <c r="DJ796" s="61"/>
      <c r="DK796" s="61"/>
    </row>
    <row r="797" spans="1:115" ht="21" customHeight="1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108"/>
      <c r="N797" s="108"/>
      <c r="O797" s="108"/>
      <c r="P797" s="108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  <c r="CD797" s="61"/>
      <c r="CE797" s="61"/>
      <c r="CF797" s="61"/>
      <c r="CG797" s="61"/>
      <c r="CH797" s="61"/>
      <c r="CI797" s="61"/>
      <c r="CJ797" s="61"/>
      <c r="CK797" s="61"/>
      <c r="CL797" s="61"/>
      <c r="CM797" s="61"/>
      <c r="CN797" s="61"/>
      <c r="CO797" s="61"/>
      <c r="CP797" s="61"/>
      <c r="CQ797" s="61"/>
      <c r="CR797" s="61"/>
      <c r="CS797" s="61"/>
      <c r="CT797" s="61"/>
      <c r="CU797" s="61"/>
      <c r="CV797" s="61"/>
      <c r="CW797" s="61"/>
      <c r="CX797" s="61"/>
      <c r="CY797" s="61"/>
      <c r="CZ797" s="61"/>
      <c r="DA797" s="61"/>
      <c r="DB797" s="61"/>
      <c r="DC797" s="61"/>
      <c r="DD797" s="61"/>
      <c r="DE797" s="61"/>
      <c r="DF797" s="61"/>
      <c r="DG797" s="61"/>
      <c r="DH797" s="61"/>
      <c r="DI797" s="61"/>
      <c r="DJ797" s="61"/>
      <c r="DK797" s="61"/>
    </row>
    <row r="798" spans="1:115" ht="21" customHeight="1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108"/>
      <c r="N798" s="108"/>
      <c r="O798" s="108"/>
      <c r="P798" s="108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  <c r="CD798" s="61"/>
      <c r="CE798" s="61"/>
      <c r="CF798" s="61"/>
      <c r="CG798" s="61"/>
      <c r="CH798" s="61"/>
      <c r="CI798" s="61"/>
      <c r="CJ798" s="61"/>
      <c r="CK798" s="61"/>
      <c r="CL798" s="61"/>
      <c r="CM798" s="61"/>
      <c r="CN798" s="61"/>
      <c r="CO798" s="61"/>
      <c r="CP798" s="61"/>
      <c r="CQ798" s="61"/>
      <c r="CR798" s="61"/>
      <c r="CS798" s="61"/>
      <c r="CT798" s="61"/>
      <c r="CU798" s="61"/>
      <c r="CV798" s="61"/>
      <c r="CW798" s="61"/>
      <c r="CX798" s="61"/>
      <c r="CY798" s="61"/>
      <c r="CZ798" s="61"/>
      <c r="DA798" s="61"/>
      <c r="DB798" s="61"/>
      <c r="DC798" s="61"/>
      <c r="DD798" s="61"/>
      <c r="DE798" s="61"/>
      <c r="DF798" s="61"/>
      <c r="DG798" s="61"/>
      <c r="DH798" s="61"/>
      <c r="DI798" s="61"/>
      <c r="DJ798" s="61"/>
      <c r="DK798" s="61"/>
    </row>
    <row r="799" spans="1:115" ht="21" customHeight="1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108"/>
      <c r="N799" s="108"/>
      <c r="O799" s="108"/>
      <c r="P799" s="108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  <c r="CD799" s="61"/>
      <c r="CE799" s="61"/>
      <c r="CF799" s="61"/>
      <c r="CG799" s="61"/>
      <c r="CH799" s="61"/>
      <c r="CI799" s="61"/>
      <c r="CJ799" s="61"/>
      <c r="CK799" s="61"/>
      <c r="CL799" s="61"/>
      <c r="CM799" s="61"/>
      <c r="CN799" s="61"/>
      <c r="CO799" s="61"/>
      <c r="CP799" s="61"/>
      <c r="CQ799" s="61"/>
      <c r="CR799" s="61"/>
      <c r="CS799" s="61"/>
      <c r="CT799" s="61"/>
      <c r="CU799" s="61"/>
      <c r="CV799" s="61"/>
      <c r="CW799" s="61"/>
      <c r="CX799" s="61"/>
      <c r="CY799" s="61"/>
      <c r="CZ799" s="61"/>
      <c r="DA799" s="61"/>
      <c r="DB799" s="61"/>
      <c r="DC799" s="61"/>
      <c r="DD799" s="61"/>
      <c r="DE799" s="61"/>
      <c r="DF799" s="61"/>
      <c r="DG799" s="61"/>
      <c r="DH799" s="61"/>
      <c r="DI799" s="61"/>
      <c r="DJ799" s="61"/>
      <c r="DK799" s="61"/>
    </row>
    <row r="800" spans="1:115" ht="21" customHeight="1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108"/>
      <c r="N800" s="108"/>
      <c r="O800" s="108"/>
      <c r="P800" s="108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  <c r="CD800" s="61"/>
      <c r="CE800" s="61"/>
      <c r="CF800" s="61"/>
      <c r="CG800" s="61"/>
      <c r="CH800" s="61"/>
      <c r="CI800" s="61"/>
      <c r="CJ800" s="61"/>
      <c r="CK800" s="61"/>
      <c r="CL800" s="61"/>
      <c r="CM800" s="61"/>
      <c r="CN800" s="61"/>
      <c r="CO800" s="61"/>
      <c r="CP800" s="61"/>
      <c r="CQ800" s="61"/>
      <c r="CR800" s="61"/>
      <c r="CS800" s="61"/>
      <c r="CT800" s="61"/>
      <c r="CU800" s="61"/>
      <c r="CV800" s="61"/>
      <c r="CW800" s="61"/>
      <c r="CX800" s="61"/>
      <c r="CY800" s="61"/>
      <c r="CZ800" s="61"/>
      <c r="DA800" s="61"/>
      <c r="DB800" s="61"/>
      <c r="DC800" s="61"/>
      <c r="DD800" s="61"/>
      <c r="DE800" s="61"/>
      <c r="DF800" s="61"/>
      <c r="DG800" s="61"/>
      <c r="DH800" s="61"/>
      <c r="DI800" s="61"/>
      <c r="DJ800" s="61"/>
      <c r="DK800" s="61"/>
    </row>
    <row r="801" spans="1:115" ht="21" customHeight="1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108"/>
      <c r="N801" s="108"/>
      <c r="O801" s="108"/>
      <c r="P801" s="108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  <c r="CN801" s="61"/>
      <c r="CO801" s="61"/>
      <c r="CP801" s="61"/>
      <c r="CQ801" s="61"/>
      <c r="CR801" s="61"/>
      <c r="CS801" s="61"/>
      <c r="CT801" s="61"/>
      <c r="CU801" s="61"/>
      <c r="CV801" s="61"/>
      <c r="CW801" s="61"/>
      <c r="CX801" s="61"/>
      <c r="CY801" s="61"/>
      <c r="CZ801" s="61"/>
      <c r="DA801" s="61"/>
      <c r="DB801" s="61"/>
      <c r="DC801" s="61"/>
      <c r="DD801" s="61"/>
      <c r="DE801" s="61"/>
      <c r="DF801" s="61"/>
      <c r="DG801" s="61"/>
      <c r="DH801" s="61"/>
      <c r="DI801" s="61"/>
      <c r="DJ801" s="61"/>
      <c r="DK801" s="61"/>
    </row>
    <row r="802" spans="1:115" ht="21" customHeight="1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108"/>
      <c r="N802" s="108"/>
      <c r="O802" s="108"/>
      <c r="P802" s="108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  <c r="CD802" s="61"/>
      <c r="CE802" s="61"/>
      <c r="CF802" s="61"/>
      <c r="CG802" s="61"/>
      <c r="CH802" s="61"/>
      <c r="CI802" s="61"/>
      <c r="CJ802" s="61"/>
      <c r="CK802" s="61"/>
      <c r="CL802" s="61"/>
      <c r="CM802" s="61"/>
      <c r="CN802" s="61"/>
      <c r="CO802" s="61"/>
      <c r="CP802" s="61"/>
      <c r="CQ802" s="61"/>
      <c r="CR802" s="61"/>
      <c r="CS802" s="61"/>
      <c r="CT802" s="61"/>
      <c r="CU802" s="61"/>
      <c r="CV802" s="61"/>
      <c r="CW802" s="61"/>
      <c r="CX802" s="61"/>
      <c r="CY802" s="61"/>
      <c r="CZ802" s="61"/>
      <c r="DA802" s="61"/>
      <c r="DB802" s="61"/>
      <c r="DC802" s="61"/>
      <c r="DD802" s="61"/>
      <c r="DE802" s="61"/>
      <c r="DF802" s="61"/>
      <c r="DG802" s="61"/>
      <c r="DH802" s="61"/>
      <c r="DI802" s="61"/>
      <c r="DJ802" s="61"/>
      <c r="DK802" s="61"/>
    </row>
    <row r="803" spans="1:115" ht="21" customHeight="1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108"/>
      <c r="N803" s="108"/>
      <c r="O803" s="108"/>
      <c r="P803" s="108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  <c r="CD803" s="61"/>
      <c r="CE803" s="61"/>
      <c r="CF803" s="61"/>
      <c r="CG803" s="61"/>
      <c r="CH803" s="61"/>
      <c r="CI803" s="61"/>
      <c r="CJ803" s="61"/>
      <c r="CK803" s="61"/>
      <c r="CL803" s="61"/>
      <c r="CM803" s="61"/>
      <c r="CN803" s="61"/>
      <c r="CO803" s="61"/>
      <c r="CP803" s="61"/>
      <c r="CQ803" s="61"/>
      <c r="CR803" s="61"/>
      <c r="CS803" s="61"/>
      <c r="CT803" s="61"/>
      <c r="CU803" s="61"/>
      <c r="CV803" s="61"/>
      <c r="CW803" s="61"/>
      <c r="CX803" s="61"/>
      <c r="CY803" s="61"/>
      <c r="CZ803" s="61"/>
      <c r="DA803" s="61"/>
      <c r="DB803" s="61"/>
      <c r="DC803" s="61"/>
      <c r="DD803" s="61"/>
      <c r="DE803" s="61"/>
      <c r="DF803" s="61"/>
      <c r="DG803" s="61"/>
      <c r="DH803" s="61"/>
      <c r="DI803" s="61"/>
      <c r="DJ803" s="61"/>
      <c r="DK803" s="61"/>
    </row>
    <row r="804" spans="1:115" ht="21" customHeight="1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108"/>
      <c r="N804" s="108"/>
      <c r="O804" s="108"/>
      <c r="P804" s="108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  <c r="CD804" s="61"/>
      <c r="CE804" s="61"/>
      <c r="CF804" s="61"/>
      <c r="CG804" s="61"/>
      <c r="CH804" s="61"/>
      <c r="CI804" s="61"/>
      <c r="CJ804" s="61"/>
      <c r="CK804" s="61"/>
      <c r="CL804" s="61"/>
      <c r="CM804" s="61"/>
      <c r="CN804" s="61"/>
      <c r="CO804" s="61"/>
      <c r="CP804" s="61"/>
      <c r="CQ804" s="61"/>
      <c r="CR804" s="61"/>
      <c r="CS804" s="61"/>
      <c r="CT804" s="61"/>
      <c r="CU804" s="61"/>
      <c r="CV804" s="61"/>
      <c r="CW804" s="61"/>
      <c r="CX804" s="61"/>
      <c r="CY804" s="61"/>
      <c r="CZ804" s="61"/>
      <c r="DA804" s="61"/>
      <c r="DB804" s="61"/>
      <c r="DC804" s="61"/>
      <c r="DD804" s="61"/>
      <c r="DE804" s="61"/>
      <c r="DF804" s="61"/>
      <c r="DG804" s="61"/>
      <c r="DH804" s="61"/>
      <c r="DI804" s="61"/>
      <c r="DJ804" s="61"/>
      <c r="DK804" s="61"/>
    </row>
    <row r="805" spans="1:115" ht="21" customHeight="1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108"/>
      <c r="N805" s="108"/>
      <c r="O805" s="108"/>
      <c r="P805" s="108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  <c r="CD805" s="61"/>
      <c r="CE805" s="61"/>
      <c r="CF805" s="61"/>
      <c r="CG805" s="61"/>
      <c r="CH805" s="61"/>
      <c r="CI805" s="61"/>
      <c r="CJ805" s="61"/>
      <c r="CK805" s="61"/>
      <c r="CL805" s="61"/>
      <c r="CM805" s="61"/>
      <c r="CN805" s="61"/>
      <c r="CO805" s="61"/>
      <c r="CP805" s="61"/>
      <c r="CQ805" s="61"/>
      <c r="CR805" s="61"/>
      <c r="CS805" s="61"/>
      <c r="CT805" s="61"/>
      <c r="CU805" s="61"/>
      <c r="CV805" s="61"/>
      <c r="CW805" s="61"/>
      <c r="CX805" s="61"/>
      <c r="CY805" s="61"/>
      <c r="CZ805" s="61"/>
      <c r="DA805" s="61"/>
      <c r="DB805" s="61"/>
      <c r="DC805" s="61"/>
      <c r="DD805" s="61"/>
      <c r="DE805" s="61"/>
      <c r="DF805" s="61"/>
      <c r="DG805" s="61"/>
      <c r="DH805" s="61"/>
      <c r="DI805" s="61"/>
      <c r="DJ805" s="61"/>
      <c r="DK805" s="61"/>
    </row>
    <row r="806" spans="1:115" ht="21" customHeight="1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108"/>
      <c r="N806" s="108"/>
      <c r="O806" s="108"/>
      <c r="P806" s="108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  <c r="CD806" s="61"/>
      <c r="CE806" s="61"/>
      <c r="CF806" s="61"/>
      <c r="CG806" s="61"/>
      <c r="CH806" s="61"/>
      <c r="CI806" s="61"/>
      <c r="CJ806" s="61"/>
      <c r="CK806" s="61"/>
      <c r="CL806" s="61"/>
      <c r="CM806" s="61"/>
      <c r="CN806" s="61"/>
      <c r="CO806" s="61"/>
      <c r="CP806" s="61"/>
      <c r="CQ806" s="61"/>
      <c r="CR806" s="61"/>
      <c r="CS806" s="61"/>
      <c r="CT806" s="61"/>
      <c r="CU806" s="61"/>
      <c r="CV806" s="61"/>
      <c r="CW806" s="61"/>
      <c r="CX806" s="61"/>
      <c r="CY806" s="61"/>
      <c r="CZ806" s="61"/>
      <c r="DA806" s="61"/>
      <c r="DB806" s="61"/>
      <c r="DC806" s="61"/>
      <c r="DD806" s="61"/>
      <c r="DE806" s="61"/>
      <c r="DF806" s="61"/>
      <c r="DG806" s="61"/>
      <c r="DH806" s="61"/>
      <c r="DI806" s="61"/>
      <c r="DJ806" s="61"/>
      <c r="DK806" s="61"/>
    </row>
    <row r="807" spans="1:115" ht="21" customHeight="1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108"/>
      <c r="N807" s="108"/>
      <c r="O807" s="108"/>
      <c r="P807" s="108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  <c r="CD807" s="61"/>
      <c r="CE807" s="61"/>
      <c r="CF807" s="61"/>
      <c r="CG807" s="61"/>
      <c r="CH807" s="61"/>
      <c r="CI807" s="61"/>
      <c r="CJ807" s="61"/>
      <c r="CK807" s="61"/>
      <c r="CL807" s="61"/>
      <c r="CM807" s="61"/>
      <c r="CN807" s="61"/>
      <c r="CO807" s="61"/>
      <c r="CP807" s="61"/>
      <c r="CQ807" s="61"/>
      <c r="CR807" s="61"/>
      <c r="CS807" s="61"/>
      <c r="CT807" s="61"/>
      <c r="CU807" s="61"/>
      <c r="CV807" s="61"/>
      <c r="CW807" s="61"/>
      <c r="CX807" s="61"/>
      <c r="CY807" s="61"/>
      <c r="CZ807" s="61"/>
      <c r="DA807" s="61"/>
      <c r="DB807" s="61"/>
      <c r="DC807" s="61"/>
      <c r="DD807" s="61"/>
      <c r="DE807" s="61"/>
      <c r="DF807" s="61"/>
      <c r="DG807" s="61"/>
      <c r="DH807" s="61"/>
      <c r="DI807" s="61"/>
      <c r="DJ807" s="61"/>
      <c r="DK807" s="61"/>
    </row>
    <row r="808" spans="1:115" ht="21" customHeight="1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108"/>
      <c r="N808" s="108"/>
      <c r="O808" s="108"/>
      <c r="P808" s="108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  <c r="CD808" s="61"/>
      <c r="CE808" s="61"/>
      <c r="CF808" s="61"/>
      <c r="CG808" s="61"/>
      <c r="CH808" s="61"/>
      <c r="CI808" s="61"/>
      <c r="CJ808" s="61"/>
      <c r="CK808" s="61"/>
      <c r="CL808" s="61"/>
      <c r="CM808" s="61"/>
      <c r="CN808" s="61"/>
      <c r="CO808" s="61"/>
      <c r="CP808" s="61"/>
      <c r="CQ808" s="61"/>
      <c r="CR808" s="61"/>
      <c r="CS808" s="61"/>
      <c r="CT808" s="61"/>
      <c r="CU808" s="61"/>
      <c r="CV808" s="61"/>
      <c r="CW808" s="61"/>
      <c r="CX808" s="61"/>
      <c r="CY808" s="61"/>
      <c r="CZ808" s="61"/>
      <c r="DA808" s="61"/>
      <c r="DB808" s="61"/>
      <c r="DC808" s="61"/>
      <c r="DD808" s="61"/>
      <c r="DE808" s="61"/>
      <c r="DF808" s="61"/>
      <c r="DG808" s="61"/>
      <c r="DH808" s="61"/>
      <c r="DI808" s="61"/>
      <c r="DJ808" s="61"/>
      <c r="DK808" s="61"/>
    </row>
    <row r="809" spans="1:115" ht="21" customHeight="1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108"/>
      <c r="N809" s="108"/>
      <c r="O809" s="108"/>
      <c r="P809" s="108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  <c r="CD809" s="61"/>
      <c r="CE809" s="61"/>
      <c r="CF809" s="61"/>
      <c r="CG809" s="61"/>
      <c r="CH809" s="61"/>
      <c r="CI809" s="61"/>
      <c r="CJ809" s="61"/>
      <c r="CK809" s="61"/>
      <c r="CL809" s="61"/>
      <c r="CM809" s="61"/>
      <c r="CN809" s="61"/>
      <c r="CO809" s="61"/>
      <c r="CP809" s="61"/>
      <c r="CQ809" s="61"/>
      <c r="CR809" s="61"/>
      <c r="CS809" s="61"/>
      <c r="CT809" s="61"/>
      <c r="CU809" s="61"/>
      <c r="CV809" s="61"/>
      <c r="CW809" s="61"/>
      <c r="CX809" s="61"/>
      <c r="CY809" s="61"/>
      <c r="CZ809" s="61"/>
      <c r="DA809" s="61"/>
      <c r="DB809" s="61"/>
      <c r="DC809" s="61"/>
      <c r="DD809" s="61"/>
      <c r="DE809" s="61"/>
      <c r="DF809" s="61"/>
      <c r="DG809" s="61"/>
      <c r="DH809" s="61"/>
      <c r="DI809" s="61"/>
      <c r="DJ809" s="61"/>
      <c r="DK809" s="61"/>
    </row>
    <row r="810" spans="1:115" ht="21" customHeight="1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108"/>
      <c r="N810" s="108"/>
      <c r="O810" s="108"/>
      <c r="P810" s="108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  <c r="CD810" s="61"/>
      <c r="CE810" s="61"/>
      <c r="CF810" s="61"/>
      <c r="CG810" s="61"/>
      <c r="CH810" s="61"/>
      <c r="CI810" s="61"/>
      <c r="CJ810" s="61"/>
      <c r="CK810" s="61"/>
      <c r="CL810" s="61"/>
      <c r="CM810" s="61"/>
      <c r="CN810" s="61"/>
      <c r="CO810" s="61"/>
      <c r="CP810" s="61"/>
      <c r="CQ810" s="61"/>
      <c r="CR810" s="61"/>
      <c r="CS810" s="61"/>
      <c r="CT810" s="61"/>
      <c r="CU810" s="61"/>
      <c r="CV810" s="61"/>
      <c r="CW810" s="61"/>
      <c r="CX810" s="61"/>
      <c r="CY810" s="61"/>
      <c r="CZ810" s="61"/>
      <c r="DA810" s="61"/>
      <c r="DB810" s="61"/>
      <c r="DC810" s="61"/>
      <c r="DD810" s="61"/>
      <c r="DE810" s="61"/>
      <c r="DF810" s="61"/>
      <c r="DG810" s="61"/>
      <c r="DH810" s="61"/>
      <c r="DI810" s="61"/>
      <c r="DJ810" s="61"/>
      <c r="DK810" s="61"/>
    </row>
    <row r="811" spans="1:115" ht="21" customHeight="1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108"/>
      <c r="N811" s="108"/>
      <c r="O811" s="108"/>
      <c r="P811" s="108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  <c r="CM811" s="61"/>
      <c r="CN811" s="61"/>
      <c r="CO811" s="61"/>
      <c r="CP811" s="61"/>
      <c r="CQ811" s="61"/>
      <c r="CR811" s="61"/>
      <c r="CS811" s="61"/>
      <c r="CT811" s="61"/>
      <c r="CU811" s="61"/>
      <c r="CV811" s="61"/>
      <c r="CW811" s="61"/>
      <c r="CX811" s="61"/>
      <c r="CY811" s="61"/>
      <c r="CZ811" s="61"/>
      <c r="DA811" s="61"/>
      <c r="DB811" s="61"/>
      <c r="DC811" s="61"/>
      <c r="DD811" s="61"/>
      <c r="DE811" s="61"/>
      <c r="DF811" s="61"/>
      <c r="DG811" s="61"/>
      <c r="DH811" s="61"/>
      <c r="DI811" s="61"/>
      <c r="DJ811" s="61"/>
      <c r="DK811" s="61"/>
    </row>
    <row r="812" spans="1:115" ht="21" customHeight="1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108"/>
      <c r="N812" s="108"/>
      <c r="O812" s="108"/>
      <c r="P812" s="108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  <c r="CD812" s="61"/>
      <c r="CE812" s="61"/>
      <c r="CF812" s="61"/>
      <c r="CG812" s="61"/>
      <c r="CH812" s="61"/>
      <c r="CI812" s="61"/>
      <c r="CJ812" s="61"/>
      <c r="CK812" s="61"/>
      <c r="CL812" s="61"/>
      <c r="CM812" s="61"/>
      <c r="CN812" s="61"/>
      <c r="CO812" s="61"/>
      <c r="CP812" s="61"/>
      <c r="CQ812" s="61"/>
      <c r="CR812" s="61"/>
      <c r="CS812" s="61"/>
      <c r="CT812" s="61"/>
      <c r="CU812" s="61"/>
      <c r="CV812" s="61"/>
      <c r="CW812" s="61"/>
      <c r="CX812" s="61"/>
      <c r="CY812" s="61"/>
      <c r="CZ812" s="61"/>
      <c r="DA812" s="61"/>
      <c r="DB812" s="61"/>
      <c r="DC812" s="61"/>
      <c r="DD812" s="61"/>
      <c r="DE812" s="61"/>
      <c r="DF812" s="61"/>
      <c r="DG812" s="61"/>
      <c r="DH812" s="61"/>
      <c r="DI812" s="61"/>
      <c r="DJ812" s="61"/>
      <c r="DK812" s="61"/>
    </row>
    <row r="813" spans="1:115" ht="21" customHeight="1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108"/>
      <c r="N813" s="108"/>
      <c r="O813" s="108"/>
      <c r="P813" s="108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  <c r="CD813" s="61"/>
      <c r="CE813" s="61"/>
      <c r="CF813" s="61"/>
      <c r="CG813" s="61"/>
      <c r="CH813" s="61"/>
      <c r="CI813" s="61"/>
      <c r="CJ813" s="61"/>
      <c r="CK813" s="61"/>
      <c r="CL813" s="61"/>
      <c r="CM813" s="61"/>
      <c r="CN813" s="61"/>
      <c r="CO813" s="61"/>
      <c r="CP813" s="61"/>
      <c r="CQ813" s="61"/>
      <c r="CR813" s="61"/>
      <c r="CS813" s="61"/>
      <c r="CT813" s="61"/>
      <c r="CU813" s="61"/>
      <c r="CV813" s="61"/>
      <c r="CW813" s="61"/>
      <c r="CX813" s="61"/>
      <c r="CY813" s="61"/>
      <c r="CZ813" s="61"/>
      <c r="DA813" s="61"/>
      <c r="DB813" s="61"/>
      <c r="DC813" s="61"/>
      <c r="DD813" s="61"/>
      <c r="DE813" s="61"/>
      <c r="DF813" s="61"/>
      <c r="DG813" s="61"/>
      <c r="DH813" s="61"/>
      <c r="DI813" s="61"/>
      <c r="DJ813" s="61"/>
      <c r="DK813" s="61"/>
    </row>
    <row r="814" spans="1:115" ht="21" customHeight="1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108"/>
      <c r="N814" s="108"/>
      <c r="O814" s="108"/>
      <c r="P814" s="108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  <c r="CD814" s="61"/>
      <c r="CE814" s="61"/>
      <c r="CF814" s="61"/>
      <c r="CG814" s="61"/>
      <c r="CH814" s="61"/>
      <c r="CI814" s="61"/>
      <c r="CJ814" s="61"/>
      <c r="CK814" s="61"/>
      <c r="CL814" s="61"/>
      <c r="CM814" s="61"/>
      <c r="CN814" s="61"/>
      <c r="CO814" s="61"/>
      <c r="CP814" s="61"/>
      <c r="CQ814" s="61"/>
      <c r="CR814" s="61"/>
      <c r="CS814" s="61"/>
      <c r="CT814" s="61"/>
      <c r="CU814" s="61"/>
      <c r="CV814" s="61"/>
      <c r="CW814" s="61"/>
      <c r="CX814" s="61"/>
      <c r="CY814" s="61"/>
      <c r="CZ814" s="61"/>
      <c r="DA814" s="61"/>
      <c r="DB814" s="61"/>
      <c r="DC814" s="61"/>
      <c r="DD814" s="61"/>
      <c r="DE814" s="61"/>
      <c r="DF814" s="61"/>
      <c r="DG814" s="61"/>
      <c r="DH814" s="61"/>
      <c r="DI814" s="61"/>
      <c r="DJ814" s="61"/>
      <c r="DK814" s="61"/>
    </row>
    <row r="815" spans="1:115" ht="21" customHeight="1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108"/>
      <c r="N815" s="108"/>
      <c r="O815" s="108"/>
      <c r="P815" s="108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  <c r="CD815" s="61"/>
      <c r="CE815" s="61"/>
      <c r="CF815" s="61"/>
      <c r="CG815" s="61"/>
      <c r="CH815" s="61"/>
      <c r="CI815" s="61"/>
      <c r="CJ815" s="61"/>
      <c r="CK815" s="61"/>
      <c r="CL815" s="61"/>
      <c r="CM815" s="61"/>
      <c r="CN815" s="61"/>
      <c r="CO815" s="61"/>
      <c r="CP815" s="61"/>
      <c r="CQ815" s="61"/>
      <c r="CR815" s="61"/>
      <c r="CS815" s="61"/>
      <c r="CT815" s="61"/>
      <c r="CU815" s="61"/>
      <c r="CV815" s="61"/>
      <c r="CW815" s="61"/>
      <c r="CX815" s="61"/>
      <c r="CY815" s="61"/>
      <c r="CZ815" s="61"/>
      <c r="DA815" s="61"/>
      <c r="DB815" s="61"/>
      <c r="DC815" s="61"/>
      <c r="DD815" s="61"/>
      <c r="DE815" s="61"/>
      <c r="DF815" s="61"/>
      <c r="DG815" s="61"/>
      <c r="DH815" s="61"/>
      <c r="DI815" s="61"/>
      <c r="DJ815" s="61"/>
      <c r="DK815" s="61"/>
    </row>
    <row r="816" spans="1:115" ht="21" customHeight="1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108"/>
      <c r="N816" s="108"/>
      <c r="O816" s="108"/>
      <c r="P816" s="108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  <c r="CD816" s="61"/>
      <c r="CE816" s="61"/>
      <c r="CF816" s="61"/>
      <c r="CG816" s="61"/>
      <c r="CH816" s="61"/>
      <c r="CI816" s="61"/>
      <c r="CJ816" s="61"/>
      <c r="CK816" s="61"/>
      <c r="CL816" s="61"/>
      <c r="CM816" s="61"/>
      <c r="CN816" s="61"/>
      <c r="CO816" s="61"/>
      <c r="CP816" s="61"/>
      <c r="CQ816" s="61"/>
      <c r="CR816" s="61"/>
      <c r="CS816" s="61"/>
      <c r="CT816" s="61"/>
      <c r="CU816" s="61"/>
      <c r="CV816" s="61"/>
      <c r="CW816" s="61"/>
      <c r="CX816" s="61"/>
      <c r="CY816" s="61"/>
      <c r="CZ816" s="61"/>
      <c r="DA816" s="61"/>
      <c r="DB816" s="61"/>
      <c r="DC816" s="61"/>
      <c r="DD816" s="61"/>
      <c r="DE816" s="61"/>
      <c r="DF816" s="61"/>
      <c r="DG816" s="61"/>
      <c r="DH816" s="61"/>
      <c r="DI816" s="61"/>
      <c r="DJ816" s="61"/>
      <c r="DK816" s="61"/>
    </row>
    <row r="817" spans="1:115" ht="21" customHeight="1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108"/>
      <c r="N817" s="108"/>
      <c r="O817" s="108"/>
      <c r="P817" s="108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  <c r="CD817" s="61"/>
      <c r="CE817" s="61"/>
      <c r="CF817" s="61"/>
      <c r="CG817" s="61"/>
      <c r="CH817" s="61"/>
      <c r="CI817" s="61"/>
      <c r="CJ817" s="61"/>
      <c r="CK817" s="61"/>
      <c r="CL817" s="61"/>
      <c r="CM817" s="61"/>
      <c r="CN817" s="61"/>
      <c r="CO817" s="61"/>
      <c r="CP817" s="61"/>
      <c r="CQ817" s="61"/>
      <c r="CR817" s="61"/>
      <c r="CS817" s="61"/>
      <c r="CT817" s="61"/>
      <c r="CU817" s="61"/>
      <c r="CV817" s="61"/>
      <c r="CW817" s="61"/>
      <c r="CX817" s="61"/>
      <c r="CY817" s="61"/>
      <c r="CZ817" s="61"/>
      <c r="DA817" s="61"/>
      <c r="DB817" s="61"/>
      <c r="DC817" s="61"/>
      <c r="DD817" s="61"/>
      <c r="DE817" s="61"/>
      <c r="DF817" s="61"/>
      <c r="DG817" s="61"/>
      <c r="DH817" s="61"/>
      <c r="DI817" s="61"/>
      <c r="DJ817" s="61"/>
      <c r="DK817" s="61"/>
    </row>
    <row r="818" spans="1:115" ht="21" customHeight="1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108"/>
      <c r="N818" s="108"/>
      <c r="O818" s="108"/>
      <c r="P818" s="108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  <c r="CD818" s="61"/>
      <c r="CE818" s="61"/>
      <c r="CF818" s="61"/>
      <c r="CG818" s="61"/>
      <c r="CH818" s="61"/>
      <c r="CI818" s="61"/>
      <c r="CJ818" s="61"/>
      <c r="CK818" s="61"/>
      <c r="CL818" s="61"/>
      <c r="CM818" s="61"/>
      <c r="CN818" s="61"/>
      <c r="CO818" s="61"/>
      <c r="CP818" s="61"/>
      <c r="CQ818" s="61"/>
      <c r="CR818" s="61"/>
      <c r="CS818" s="61"/>
      <c r="CT818" s="61"/>
      <c r="CU818" s="61"/>
      <c r="CV818" s="61"/>
      <c r="CW818" s="61"/>
      <c r="CX818" s="61"/>
      <c r="CY818" s="61"/>
      <c r="CZ818" s="61"/>
      <c r="DA818" s="61"/>
      <c r="DB818" s="61"/>
      <c r="DC818" s="61"/>
      <c r="DD818" s="61"/>
      <c r="DE818" s="61"/>
      <c r="DF818" s="61"/>
      <c r="DG818" s="61"/>
      <c r="DH818" s="61"/>
      <c r="DI818" s="61"/>
      <c r="DJ818" s="61"/>
      <c r="DK818" s="61"/>
    </row>
    <row r="819" spans="1:115" ht="21" customHeight="1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108"/>
      <c r="N819" s="108"/>
      <c r="O819" s="108"/>
      <c r="P819" s="108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  <c r="CD819" s="61"/>
      <c r="CE819" s="61"/>
      <c r="CF819" s="61"/>
      <c r="CG819" s="61"/>
      <c r="CH819" s="61"/>
      <c r="CI819" s="61"/>
      <c r="CJ819" s="61"/>
      <c r="CK819" s="61"/>
      <c r="CL819" s="61"/>
      <c r="CM819" s="61"/>
      <c r="CN819" s="61"/>
      <c r="CO819" s="61"/>
      <c r="CP819" s="61"/>
      <c r="CQ819" s="61"/>
      <c r="CR819" s="61"/>
      <c r="CS819" s="61"/>
      <c r="CT819" s="61"/>
      <c r="CU819" s="61"/>
      <c r="CV819" s="61"/>
      <c r="CW819" s="61"/>
      <c r="CX819" s="61"/>
      <c r="CY819" s="61"/>
      <c r="CZ819" s="61"/>
      <c r="DA819" s="61"/>
      <c r="DB819" s="61"/>
      <c r="DC819" s="61"/>
      <c r="DD819" s="61"/>
      <c r="DE819" s="61"/>
      <c r="DF819" s="61"/>
      <c r="DG819" s="61"/>
      <c r="DH819" s="61"/>
      <c r="DI819" s="61"/>
      <c r="DJ819" s="61"/>
      <c r="DK819" s="61"/>
    </row>
    <row r="820" spans="1:115" ht="21" customHeight="1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108"/>
      <c r="N820" s="108"/>
      <c r="O820" s="108"/>
      <c r="P820" s="108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  <c r="CD820" s="61"/>
      <c r="CE820" s="61"/>
      <c r="CF820" s="61"/>
      <c r="CG820" s="61"/>
      <c r="CH820" s="61"/>
      <c r="CI820" s="61"/>
      <c r="CJ820" s="61"/>
      <c r="CK820" s="61"/>
      <c r="CL820" s="61"/>
      <c r="CM820" s="61"/>
      <c r="CN820" s="61"/>
      <c r="CO820" s="61"/>
      <c r="CP820" s="61"/>
      <c r="CQ820" s="61"/>
      <c r="CR820" s="61"/>
      <c r="CS820" s="61"/>
      <c r="CT820" s="61"/>
      <c r="CU820" s="61"/>
      <c r="CV820" s="61"/>
      <c r="CW820" s="61"/>
      <c r="CX820" s="61"/>
      <c r="CY820" s="61"/>
      <c r="CZ820" s="61"/>
      <c r="DA820" s="61"/>
      <c r="DB820" s="61"/>
      <c r="DC820" s="61"/>
      <c r="DD820" s="61"/>
      <c r="DE820" s="61"/>
      <c r="DF820" s="61"/>
      <c r="DG820" s="61"/>
      <c r="DH820" s="61"/>
      <c r="DI820" s="61"/>
      <c r="DJ820" s="61"/>
      <c r="DK820" s="61"/>
    </row>
    <row r="821" spans="1:115" ht="21" customHeight="1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108"/>
      <c r="N821" s="108"/>
      <c r="O821" s="108"/>
      <c r="P821" s="108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  <c r="CD821" s="61"/>
      <c r="CE821" s="61"/>
      <c r="CF821" s="61"/>
      <c r="CG821" s="61"/>
      <c r="CH821" s="61"/>
      <c r="CI821" s="61"/>
      <c r="CJ821" s="61"/>
      <c r="CK821" s="61"/>
      <c r="CL821" s="61"/>
      <c r="CM821" s="61"/>
      <c r="CN821" s="61"/>
      <c r="CO821" s="61"/>
      <c r="CP821" s="61"/>
      <c r="CQ821" s="61"/>
      <c r="CR821" s="61"/>
      <c r="CS821" s="61"/>
      <c r="CT821" s="61"/>
      <c r="CU821" s="61"/>
      <c r="CV821" s="61"/>
      <c r="CW821" s="61"/>
      <c r="CX821" s="61"/>
      <c r="CY821" s="61"/>
      <c r="CZ821" s="61"/>
      <c r="DA821" s="61"/>
      <c r="DB821" s="61"/>
      <c r="DC821" s="61"/>
      <c r="DD821" s="61"/>
      <c r="DE821" s="61"/>
      <c r="DF821" s="61"/>
      <c r="DG821" s="61"/>
      <c r="DH821" s="61"/>
      <c r="DI821" s="61"/>
      <c r="DJ821" s="61"/>
      <c r="DK821" s="61"/>
    </row>
    <row r="822" spans="1:115" ht="21" customHeight="1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108"/>
      <c r="N822" s="108"/>
      <c r="O822" s="108"/>
      <c r="P822" s="108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  <c r="CD822" s="61"/>
      <c r="CE822" s="61"/>
      <c r="CF822" s="61"/>
      <c r="CG822" s="61"/>
      <c r="CH822" s="61"/>
      <c r="CI822" s="61"/>
      <c r="CJ822" s="61"/>
      <c r="CK822" s="61"/>
      <c r="CL822" s="61"/>
      <c r="CM822" s="61"/>
      <c r="CN822" s="61"/>
      <c r="CO822" s="61"/>
      <c r="CP822" s="61"/>
      <c r="CQ822" s="61"/>
      <c r="CR822" s="61"/>
      <c r="CS822" s="61"/>
      <c r="CT822" s="61"/>
      <c r="CU822" s="61"/>
      <c r="CV822" s="61"/>
      <c r="CW822" s="61"/>
      <c r="CX822" s="61"/>
      <c r="CY822" s="61"/>
      <c r="CZ822" s="61"/>
      <c r="DA822" s="61"/>
      <c r="DB822" s="61"/>
      <c r="DC822" s="61"/>
      <c r="DD822" s="61"/>
      <c r="DE822" s="61"/>
      <c r="DF822" s="61"/>
      <c r="DG822" s="61"/>
      <c r="DH822" s="61"/>
      <c r="DI822" s="61"/>
      <c r="DJ822" s="61"/>
      <c r="DK822" s="61"/>
    </row>
    <row r="823" spans="1:115" ht="21" customHeight="1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108"/>
      <c r="N823" s="108"/>
      <c r="O823" s="108"/>
      <c r="P823" s="108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  <c r="CD823" s="61"/>
      <c r="CE823" s="61"/>
      <c r="CF823" s="61"/>
      <c r="CG823" s="61"/>
      <c r="CH823" s="61"/>
      <c r="CI823" s="61"/>
      <c r="CJ823" s="61"/>
      <c r="CK823" s="61"/>
      <c r="CL823" s="61"/>
      <c r="CM823" s="61"/>
      <c r="CN823" s="61"/>
      <c r="CO823" s="61"/>
      <c r="CP823" s="61"/>
      <c r="CQ823" s="61"/>
      <c r="CR823" s="61"/>
      <c r="CS823" s="61"/>
      <c r="CT823" s="61"/>
      <c r="CU823" s="61"/>
      <c r="CV823" s="61"/>
      <c r="CW823" s="61"/>
      <c r="CX823" s="61"/>
      <c r="CY823" s="61"/>
      <c r="CZ823" s="61"/>
      <c r="DA823" s="61"/>
      <c r="DB823" s="61"/>
      <c r="DC823" s="61"/>
      <c r="DD823" s="61"/>
      <c r="DE823" s="61"/>
      <c r="DF823" s="61"/>
      <c r="DG823" s="61"/>
      <c r="DH823" s="61"/>
      <c r="DI823" s="61"/>
      <c r="DJ823" s="61"/>
      <c r="DK823" s="61"/>
    </row>
    <row r="824" spans="1:115" ht="21" customHeight="1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108"/>
      <c r="N824" s="108"/>
      <c r="O824" s="108"/>
      <c r="P824" s="108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  <c r="CD824" s="61"/>
      <c r="CE824" s="61"/>
      <c r="CF824" s="61"/>
      <c r="CG824" s="61"/>
      <c r="CH824" s="61"/>
      <c r="CI824" s="61"/>
      <c r="CJ824" s="61"/>
      <c r="CK824" s="61"/>
      <c r="CL824" s="61"/>
      <c r="CM824" s="61"/>
      <c r="CN824" s="61"/>
      <c r="CO824" s="61"/>
      <c r="CP824" s="61"/>
      <c r="CQ824" s="61"/>
      <c r="CR824" s="61"/>
      <c r="CS824" s="61"/>
      <c r="CT824" s="61"/>
      <c r="CU824" s="61"/>
      <c r="CV824" s="61"/>
      <c r="CW824" s="61"/>
      <c r="CX824" s="61"/>
      <c r="CY824" s="61"/>
      <c r="CZ824" s="61"/>
      <c r="DA824" s="61"/>
      <c r="DB824" s="61"/>
      <c r="DC824" s="61"/>
      <c r="DD824" s="61"/>
      <c r="DE824" s="61"/>
      <c r="DF824" s="61"/>
      <c r="DG824" s="61"/>
      <c r="DH824" s="61"/>
      <c r="DI824" s="61"/>
      <c r="DJ824" s="61"/>
      <c r="DK824" s="61"/>
    </row>
    <row r="825" spans="1:115" ht="21" customHeight="1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108"/>
      <c r="N825" s="108"/>
      <c r="O825" s="108"/>
      <c r="P825" s="108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  <c r="CD825" s="61"/>
      <c r="CE825" s="61"/>
      <c r="CF825" s="61"/>
      <c r="CG825" s="61"/>
      <c r="CH825" s="61"/>
      <c r="CI825" s="61"/>
      <c r="CJ825" s="61"/>
      <c r="CK825" s="61"/>
      <c r="CL825" s="61"/>
      <c r="CM825" s="61"/>
      <c r="CN825" s="61"/>
      <c r="CO825" s="61"/>
      <c r="CP825" s="61"/>
      <c r="CQ825" s="61"/>
      <c r="CR825" s="61"/>
      <c r="CS825" s="61"/>
      <c r="CT825" s="61"/>
      <c r="CU825" s="61"/>
      <c r="CV825" s="61"/>
      <c r="CW825" s="61"/>
      <c r="CX825" s="61"/>
      <c r="CY825" s="61"/>
      <c r="CZ825" s="61"/>
      <c r="DA825" s="61"/>
      <c r="DB825" s="61"/>
      <c r="DC825" s="61"/>
      <c r="DD825" s="61"/>
      <c r="DE825" s="61"/>
      <c r="DF825" s="61"/>
      <c r="DG825" s="61"/>
      <c r="DH825" s="61"/>
      <c r="DI825" s="61"/>
      <c r="DJ825" s="61"/>
      <c r="DK825" s="61"/>
    </row>
    <row r="826" spans="1:115" ht="21" customHeight="1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108"/>
      <c r="N826" s="108"/>
      <c r="O826" s="108"/>
      <c r="P826" s="108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  <c r="CD826" s="61"/>
      <c r="CE826" s="61"/>
      <c r="CF826" s="61"/>
      <c r="CG826" s="61"/>
      <c r="CH826" s="61"/>
      <c r="CI826" s="61"/>
      <c r="CJ826" s="61"/>
      <c r="CK826" s="61"/>
      <c r="CL826" s="61"/>
      <c r="CM826" s="61"/>
      <c r="CN826" s="61"/>
      <c r="CO826" s="61"/>
      <c r="CP826" s="61"/>
      <c r="CQ826" s="61"/>
      <c r="CR826" s="61"/>
      <c r="CS826" s="61"/>
      <c r="CT826" s="61"/>
      <c r="CU826" s="61"/>
      <c r="CV826" s="61"/>
      <c r="CW826" s="61"/>
      <c r="CX826" s="61"/>
      <c r="CY826" s="61"/>
      <c r="CZ826" s="61"/>
      <c r="DA826" s="61"/>
      <c r="DB826" s="61"/>
      <c r="DC826" s="61"/>
      <c r="DD826" s="61"/>
      <c r="DE826" s="61"/>
      <c r="DF826" s="61"/>
      <c r="DG826" s="61"/>
      <c r="DH826" s="61"/>
      <c r="DI826" s="61"/>
      <c r="DJ826" s="61"/>
      <c r="DK826" s="61"/>
    </row>
    <row r="827" spans="1:115" ht="21" customHeight="1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108"/>
      <c r="N827" s="108"/>
      <c r="O827" s="108"/>
      <c r="P827" s="108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  <c r="CD827" s="61"/>
      <c r="CE827" s="61"/>
      <c r="CF827" s="61"/>
      <c r="CG827" s="61"/>
      <c r="CH827" s="61"/>
      <c r="CI827" s="61"/>
      <c r="CJ827" s="61"/>
      <c r="CK827" s="61"/>
      <c r="CL827" s="61"/>
      <c r="CM827" s="61"/>
      <c r="CN827" s="61"/>
      <c r="CO827" s="61"/>
      <c r="CP827" s="61"/>
      <c r="CQ827" s="61"/>
      <c r="CR827" s="61"/>
      <c r="CS827" s="61"/>
      <c r="CT827" s="61"/>
      <c r="CU827" s="61"/>
      <c r="CV827" s="61"/>
      <c r="CW827" s="61"/>
      <c r="CX827" s="61"/>
      <c r="CY827" s="61"/>
      <c r="CZ827" s="61"/>
      <c r="DA827" s="61"/>
      <c r="DB827" s="61"/>
      <c r="DC827" s="61"/>
      <c r="DD827" s="61"/>
      <c r="DE827" s="61"/>
      <c r="DF827" s="61"/>
      <c r="DG827" s="61"/>
      <c r="DH827" s="61"/>
      <c r="DI827" s="61"/>
      <c r="DJ827" s="61"/>
      <c r="DK827" s="61"/>
    </row>
    <row r="828" spans="1:115" ht="21" customHeight="1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108"/>
      <c r="N828" s="108"/>
      <c r="O828" s="108"/>
      <c r="P828" s="108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  <c r="CD828" s="61"/>
      <c r="CE828" s="61"/>
      <c r="CF828" s="61"/>
      <c r="CG828" s="61"/>
      <c r="CH828" s="61"/>
      <c r="CI828" s="61"/>
      <c r="CJ828" s="61"/>
      <c r="CK828" s="61"/>
      <c r="CL828" s="61"/>
      <c r="CM828" s="61"/>
      <c r="CN828" s="61"/>
      <c r="CO828" s="61"/>
      <c r="CP828" s="61"/>
      <c r="CQ828" s="61"/>
      <c r="CR828" s="61"/>
      <c r="CS828" s="61"/>
      <c r="CT828" s="61"/>
      <c r="CU828" s="61"/>
      <c r="CV828" s="61"/>
      <c r="CW828" s="61"/>
      <c r="CX828" s="61"/>
      <c r="CY828" s="61"/>
      <c r="CZ828" s="61"/>
      <c r="DA828" s="61"/>
      <c r="DB828" s="61"/>
      <c r="DC828" s="61"/>
      <c r="DD828" s="61"/>
      <c r="DE828" s="61"/>
      <c r="DF828" s="61"/>
      <c r="DG828" s="61"/>
      <c r="DH828" s="61"/>
      <c r="DI828" s="61"/>
      <c r="DJ828" s="61"/>
      <c r="DK828" s="61"/>
    </row>
    <row r="829" spans="1:115" ht="21" customHeight="1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108"/>
      <c r="N829" s="108"/>
      <c r="O829" s="108"/>
      <c r="P829" s="108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  <c r="CD829" s="61"/>
      <c r="CE829" s="61"/>
      <c r="CF829" s="61"/>
      <c r="CG829" s="61"/>
      <c r="CH829" s="61"/>
      <c r="CI829" s="61"/>
      <c r="CJ829" s="61"/>
      <c r="CK829" s="61"/>
      <c r="CL829" s="61"/>
      <c r="CM829" s="61"/>
      <c r="CN829" s="61"/>
      <c r="CO829" s="61"/>
      <c r="CP829" s="61"/>
      <c r="CQ829" s="61"/>
      <c r="CR829" s="61"/>
      <c r="CS829" s="61"/>
      <c r="CT829" s="61"/>
      <c r="CU829" s="61"/>
      <c r="CV829" s="61"/>
      <c r="CW829" s="61"/>
      <c r="CX829" s="61"/>
      <c r="CY829" s="61"/>
      <c r="CZ829" s="61"/>
      <c r="DA829" s="61"/>
      <c r="DB829" s="61"/>
      <c r="DC829" s="61"/>
      <c r="DD829" s="61"/>
      <c r="DE829" s="61"/>
      <c r="DF829" s="61"/>
      <c r="DG829" s="61"/>
      <c r="DH829" s="61"/>
      <c r="DI829" s="61"/>
      <c r="DJ829" s="61"/>
      <c r="DK829" s="61"/>
    </row>
    <row r="830" spans="1:115" ht="21" customHeight="1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108"/>
      <c r="N830" s="108"/>
      <c r="O830" s="108"/>
      <c r="P830" s="108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  <c r="CD830" s="61"/>
      <c r="CE830" s="61"/>
      <c r="CF830" s="61"/>
      <c r="CG830" s="61"/>
      <c r="CH830" s="61"/>
      <c r="CI830" s="61"/>
      <c r="CJ830" s="61"/>
      <c r="CK830" s="61"/>
      <c r="CL830" s="61"/>
      <c r="CM830" s="61"/>
      <c r="CN830" s="61"/>
      <c r="CO830" s="61"/>
      <c r="CP830" s="61"/>
      <c r="CQ830" s="61"/>
      <c r="CR830" s="61"/>
      <c r="CS830" s="61"/>
      <c r="CT830" s="61"/>
      <c r="CU830" s="61"/>
      <c r="CV830" s="61"/>
      <c r="CW830" s="61"/>
      <c r="CX830" s="61"/>
      <c r="CY830" s="61"/>
      <c r="CZ830" s="61"/>
      <c r="DA830" s="61"/>
      <c r="DB830" s="61"/>
      <c r="DC830" s="61"/>
      <c r="DD830" s="61"/>
      <c r="DE830" s="61"/>
      <c r="DF830" s="61"/>
      <c r="DG830" s="61"/>
      <c r="DH830" s="61"/>
      <c r="DI830" s="61"/>
      <c r="DJ830" s="61"/>
      <c r="DK830" s="61"/>
    </row>
    <row r="831" spans="1:115" ht="21" customHeight="1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108"/>
      <c r="N831" s="108"/>
      <c r="O831" s="108"/>
      <c r="P831" s="108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  <c r="CD831" s="61"/>
      <c r="CE831" s="61"/>
      <c r="CF831" s="61"/>
      <c r="CG831" s="61"/>
      <c r="CH831" s="61"/>
      <c r="CI831" s="61"/>
      <c r="CJ831" s="61"/>
      <c r="CK831" s="61"/>
      <c r="CL831" s="61"/>
      <c r="CM831" s="61"/>
      <c r="CN831" s="61"/>
      <c r="CO831" s="61"/>
      <c r="CP831" s="61"/>
      <c r="CQ831" s="61"/>
      <c r="CR831" s="61"/>
      <c r="CS831" s="61"/>
      <c r="CT831" s="61"/>
      <c r="CU831" s="61"/>
      <c r="CV831" s="61"/>
      <c r="CW831" s="61"/>
      <c r="CX831" s="61"/>
      <c r="CY831" s="61"/>
      <c r="CZ831" s="61"/>
      <c r="DA831" s="61"/>
      <c r="DB831" s="61"/>
      <c r="DC831" s="61"/>
      <c r="DD831" s="61"/>
      <c r="DE831" s="61"/>
      <c r="DF831" s="61"/>
      <c r="DG831" s="61"/>
      <c r="DH831" s="61"/>
      <c r="DI831" s="61"/>
      <c r="DJ831" s="61"/>
      <c r="DK831" s="61"/>
    </row>
    <row r="832" spans="1:115" ht="21" customHeight="1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108"/>
      <c r="N832" s="108"/>
      <c r="O832" s="108"/>
      <c r="P832" s="108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  <c r="CD832" s="61"/>
      <c r="CE832" s="61"/>
      <c r="CF832" s="61"/>
      <c r="CG832" s="61"/>
      <c r="CH832" s="61"/>
      <c r="CI832" s="61"/>
      <c r="CJ832" s="61"/>
      <c r="CK832" s="61"/>
      <c r="CL832" s="61"/>
      <c r="CM832" s="61"/>
      <c r="CN832" s="61"/>
      <c r="CO832" s="61"/>
      <c r="CP832" s="61"/>
      <c r="CQ832" s="61"/>
      <c r="CR832" s="61"/>
      <c r="CS832" s="61"/>
      <c r="CT832" s="61"/>
      <c r="CU832" s="61"/>
      <c r="CV832" s="61"/>
      <c r="CW832" s="61"/>
      <c r="CX832" s="61"/>
      <c r="CY832" s="61"/>
      <c r="CZ832" s="61"/>
      <c r="DA832" s="61"/>
      <c r="DB832" s="61"/>
      <c r="DC832" s="61"/>
      <c r="DD832" s="61"/>
      <c r="DE832" s="61"/>
      <c r="DF832" s="61"/>
      <c r="DG832" s="61"/>
      <c r="DH832" s="61"/>
      <c r="DI832" s="61"/>
      <c r="DJ832" s="61"/>
      <c r="DK832" s="61"/>
    </row>
    <row r="833" spans="1:115" ht="21" customHeight="1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108"/>
      <c r="N833" s="108"/>
      <c r="O833" s="108"/>
      <c r="P833" s="108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  <c r="CD833" s="61"/>
      <c r="CE833" s="61"/>
      <c r="CF833" s="61"/>
      <c r="CG833" s="61"/>
      <c r="CH833" s="61"/>
      <c r="CI833" s="61"/>
      <c r="CJ833" s="61"/>
      <c r="CK833" s="61"/>
      <c r="CL833" s="61"/>
      <c r="CM833" s="61"/>
      <c r="CN833" s="61"/>
      <c r="CO833" s="61"/>
      <c r="CP833" s="61"/>
      <c r="CQ833" s="61"/>
      <c r="CR833" s="61"/>
      <c r="CS833" s="61"/>
      <c r="CT833" s="61"/>
      <c r="CU833" s="61"/>
      <c r="CV833" s="61"/>
      <c r="CW833" s="61"/>
      <c r="CX833" s="61"/>
      <c r="CY833" s="61"/>
      <c r="CZ833" s="61"/>
      <c r="DA833" s="61"/>
      <c r="DB833" s="61"/>
      <c r="DC833" s="61"/>
      <c r="DD833" s="61"/>
      <c r="DE833" s="61"/>
      <c r="DF833" s="61"/>
      <c r="DG833" s="61"/>
      <c r="DH833" s="61"/>
      <c r="DI833" s="61"/>
      <c r="DJ833" s="61"/>
      <c r="DK833" s="61"/>
    </row>
    <row r="834" spans="1:115" ht="21" customHeight="1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108"/>
      <c r="N834" s="108"/>
      <c r="O834" s="108"/>
      <c r="P834" s="108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  <c r="CD834" s="61"/>
      <c r="CE834" s="61"/>
      <c r="CF834" s="61"/>
      <c r="CG834" s="61"/>
      <c r="CH834" s="61"/>
      <c r="CI834" s="61"/>
      <c r="CJ834" s="61"/>
      <c r="CK834" s="61"/>
      <c r="CL834" s="61"/>
      <c r="CM834" s="61"/>
      <c r="CN834" s="61"/>
      <c r="CO834" s="61"/>
      <c r="CP834" s="61"/>
      <c r="CQ834" s="61"/>
      <c r="CR834" s="61"/>
      <c r="CS834" s="61"/>
      <c r="CT834" s="61"/>
      <c r="CU834" s="61"/>
      <c r="CV834" s="61"/>
      <c r="CW834" s="61"/>
      <c r="CX834" s="61"/>
      <c r="CY834" s="61"/>
      <c r="CZ834" s="61"/>
      <c r="DA834" s="61"/>
      <c r="DB834" s="61"/>
      <c r="DC834" s="61"/>
      <c r="DD834" s="61"/>
      <c r="DE834" s="61"/>
      <c r="DF834" s="61"/>
      <c r="DG834" s="61"/>
      <c r="DH834" s="61"/>
      <c r="DI834" s="61"/>
      <c r="DJ834" s="61"/>
      <c r="DK834" s="61"/>
    </row>
    <row r="835" spans="1:115" ht="21" customHeight="1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108"/>
      <c r="N835" s="108"/>
      <c r="O835" s="108"/>
      <c r="P835" s="108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  <c r="CD835" s="61"/>
      <c r="CE835" s="61"/>
      <c r="CF835" s="61"/>
      <c r="CG835" s="61"/>
      <c r="CH835" s="61"/>
      <c r="CI835" s="61"/>
      <c r="CJ835" s="61"/>
      <c r="CK835" s="61"/>
      <c r="CL835" s="61"/>
      <c r="CM835" s="61"/>
      <c r="CN835" s="61"/>
      <c r="CO835" s="61"/>
      <c r="CP835" s="61"/>
      <c r="CQ835" s="61"/>
      <c r="CR835" s="61"/>
      <c r="CS835" s="61"/>
      <c r="CT835" s="61"/>
      <c r="CU835" s="61"/>
      <c r="CV835" s="61"/>
      <c r="CW835" s="61"/>
      <c r="CX835" s="61"/>
      <c r="CY835" s="61"/>
      <c r="CZ835" s="61"/>
      <c r="DA835" s="61"/>
      <c r="DB835" s="61"/>
      <c r="DC835" s="61"/>
      <c r="DD835" s="61"/>
      <c r="DE835" s="61"/>
      <c r="DF835" s="61"/>
      <c r="DG835" s="61"/>
      <c r="DH835" s="61"/>
      <c r="DI835" s="61"/>
      <c r="DJ835" s="61"/>
      <c r="DK835" s="61"/>
    </row>
    <row r="836" spans="1:115" ht="21" customHeight="1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108"/>
      <c r="N836" s="108"/>
      <c r="O836" s="108"/>
      <c r="P836" s="108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  <c r="CD836" s="61"/>
      <c r="CE836" s="61"/>
      <c r="CF836" s="61"/>
      <c r="CG836" s="61"/>
      <c r="CH836" s="61"/>
      <c r="CI836" s="61"/>
      <c r="CJ836" s="61"/>
      <c r="CK836" s="61"/>
      <c r="CL836" s="61"/>
      <c r="CM836" s="61"/>
      <c r="CN836" s="61"/>
      <c r="CO836" s="61"/>
      <c r="CP836" s="61"/>
      <c r="CQ836" s="61"/>
      <c r="CR836" s="61"/>
      <c r="CS836" s="61"/>
      <c r="CT836" s="61"/>
      <c r="CU836" s="61"/>
      <c r="CV836" s="61"/>
      <c r="CW836" s="61"/>
      <c r="CX836" s="61"/>
      <c r="CY836" s="61"/>
      <c r="CZ836" s="61"/>
      <c r="DA836" s="61"/>
      <c r="DB836" s="61"/>
      <c r="DC836" s="61"/>
      <c r="DD836" s="61"/>
      <c r="DE836" s="61"/>
      <c r="DF836" s="61"/>
      <c r="DG836" s="61"/>
      <c r="DH836" s="61"/>
      <c r="DI836" s="61"/>
      <c r="DJ836" s="61"/>
      <c r="DK836" s="61"/>
    </row>
    <row r="837" spans="1:115" ht="21" customHeight="1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108"/>
      <c r="N837" s="108"/>
      <c r="O837" s="108"/>
      <c r="P837" s="108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  <c r="CD837" s="61"/>
      <c r="CE837" s="61"/>
      <c r="CF837" s="61"/>
      <c r="CG837" s="61"/>
      <c r="CH837" s="61"/>
      <c r="CI837" s="61"/>
      <c r="CJ837" s="61"/>
      <c r="CK837" s="61"/>
      <c r="CL837" s="61"/>
      <c r="CM837" s="61"/>
      <c r="CN837" s="61"/>
      <c r="CO837" s="61"/>
      <c r="CP837" s="61"/>
      <c r="CQ837" s="61"/>
      <c r="CR837" s="61"/>
      <c r="CS837" s="61"/>
      <c r="CT837" s="61"/>
      <c r="CU837" s="61"/>
      <c r="CV837" s="61"/>
      <c r="CW837" s="61"/>
      <c r="CX837" s="61"/>
      <c r="CY837" s="61"/>
      <c r="CZ837" s="61"/>
      <c r="DA837" s="61"/>
      <c r="DB837" s="61"/>
      <c r="DC837" s="61"/>
      <c r="DD837" s="61"/>
      <c r="DE837" s="61"/>
      <c r="DF837" s="61"/>
      <c r="DG837" s="61"/>
      <c r="DH837" s="61"/>
      <c r="DI837" s="61"/>
      <c r="DJ837" s="61"/>
      <c r="DK837" s="61"/>
    </row>
    <row r="838" spans="1:115" ht="21" customHeight="1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108"/>
      <c r="N838" s="108"/>
      <c r="O838" s="108"/>
      <c r="P838" s="108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  <c r="CD838" s="61"/>
      <c r="CE838" s="61"/>
      <c r="CF838" s="61"/>
      <c r="CG838" s="61"/>
      <c r="CH838" s="61"/>
      <c r="CI838" s="61"/>
      <c r="CJ838" s="61"/>
      <c r="CK838" s="61"/>
      <c r="CL838" s="61"/>
      <c r="CM838" s="61"/>
      <c r="CN838" s="61"/>
      <c r="CO838" s="61"/>
      <c r="CP838" s="61"/>
      <c r="CQ838" s="61"/>
      <c r="CR838" s="61"/>
      <c r="CS838" s="61"/>
      <c r="CT838" s="61"/>
      <c r="CU838" s="61"/>
      <c r="CV838" s="61"/>
      <c r="CW838" s="61"/>
      <c r="CX838" s="61"/>
      <c r="CY838" s="61"/>
      <c r="CZ838" s="61"/>
      <c r="DA838" s="61"/>
      <c r="DB838" s="61"/>
      <c r="DC838" s="61"/>
      <c r="DD838" s="61"/>
      <c r="DE838" s="61"/>
      <c r="DF838" s="61"/>
      <c r="DG838" s="61"/>
      <c r="DH838" s="61"/>
      <c r="DI838" s="61"/>
      <c r="DJ838" s="61"/>
      <c r="DK838" s="61"/>
    </row>
    <row r="839" spans="1:115" ht="21" customHeight="1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108"/>
      <c r="N839" s="108"/>
      <c r="O839" s="108"/>
      <c r="P839" s="108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  <c r="CD839" s="61"/>
      <c r="CE839" s="61"/>
      <c r="CF839" s="61"/>
      <c r="CG839" s="61"/>
      <c r="CH839" s="61"/>
      <c r="CI839" s="61"/>
      <c r="CJ839" s="61"/>
      <c r="CK839" s="61"/>
      <c r="CL839" s="61"/>
      <c r="CM839" s="61"/>
      <c r="CN839" s="61"/>
      <c r="CO839" s="61"/>
      <c r="CP839" s="61"/>
      <c r="CQ839" s="61"/>
      <c r="CR839" s="61"/>
      <c r="CS839" s="61"/>
      <c r="CT839" s="61"/>
      <c r="CU839" s="61"/>
      <c r="CV839" s="61"/>
      <c r="CW839" s="61"/>
      <c r="CX839" s="61"/>
      <c r="CY839" s="61"/>
      <c r="CZ839" s="61"/>
      <c r="DA839" s="61"/>
      <c r="DB839" s="61"/>
      <c r="DC839" s="61"/>
      <c r="DD839" s="61"/>
      <c r="DE839" s="61"/>
      <c r="DF839" s="61"/>
      <c r="DG839" s="61"/>
      <c r="DH839" s="61"/>
      <c r="DI839" s="61"/>
      <c r="DJ839" s="61"/>
      <c r="DK839" s="61"/>
    </row>
    <row r="840" spans="1:115" ht="21" customHeight="1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108"/>
      <c r="N840" s="108"/>
      <c r="O840" s="108"/>
      <c r="P840" s="108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  <c r="CD840" s="61"/>
      <c r="CE840" s="61"/>
      <c r="CF840" s="61"/>
      <c r="CG840" s="61"/>
      <c r="CH840" s="61"/>
      <c r="CI840" s="61"/>
      <c r="CJ840" s="61"/>
      <c r="CK840" s="61"/>
      <c r="CL840" s="61"/>
      <c r="CM840" s="61"/>
      <c r="CN840" s="61"/>
      <c r="CO840" s="61"/>
      <c r="CP840" s="61"/>
      <c r="CQ840" s="61"/>
      <c r="CR840" s="61"/>
      <c r="CS840" s="61"/>
      <c r="CT840" s="61"/>
      <c r="CU840" s="61"/>
      <c r="CV840" s="61"/>
      <c r="CW840" s="61"/>
      <c r="CX840" s="61"/>
      <c r="CY840" s="61"/>
      <c r="CZ840" s="61"/>
      <c r="DA840" s="61"/>
      <c r="DB840" s="61"/>
      <c r="DC840" s="61"/>
      <c r="DD840" s="61"/>
      <c r="DE840" s="61"/>
      <c r="DF840" s="61"/>
      <c r="DG840" s="61"/>
      <c r="DH840" s="61"/>
      <c r="DI840" s="61"/>
      <c r="DJ840" s="61"/>
      <c r="DK840" s="61"/>
    </row>
    <row r="841" spans="1:115" ht="21" customHeight="1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108"/>
      <c r="N841" s="108"/>
      <c r="O841" s="108"/>
      <c r="P841" s="108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  <c r="CD841" s="61"/>
      <c r="CE841" s="61"/>
      <c r="CF841" s="61"/>
      <c r="CG841" s="61"/>
      <c r="CH841" s="61"/>
      <c r="CI841" s="61"/>
      <c r="CJ841" s="61"/>
      <c r="CK841" s="61"/>
      <c r="CL841" s="61"/>
      <c r="CM841" s="61"/>
      <c r="CN841" s="61"/>
      <c r="CO841" s="61"/>
      <c r="CP841" s="61"/>
      <c r="CQ841" s="61"/>
      <c r="CR841" s="61"/>
      <c r="CS841" s="61"/>
      <c r="CT841" s="61"/>
      <c r="CU841" s="61"/>
      <c r="CV841" s="61"/>
      <c r="CW841" s="61"/>
      <c r="CX841" s="61"/>
      <c r="CY841" s="61"/>
      <c r="CZ841" s="61"/>
      <c r="DA841" s="61"/>
      <c r="DB841" s="61"/>
      <c r="DC841" s="61"/>
      <c r="DD841" s="61"/>
      <c r="DE841" s="61"/>
      <c r="DF841" s="61"/>
      <c r="DG841" s="61"/>
      <c r="DH841" s="61"/>
      <c r="DI841" s="61"/>
      <c r="DJ841" s="61"/>
      <c r="DK841" s="61"/>
    </row>
    <row r="842" spans="1:115" ht="21" customHeight="1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108"/>
      <c r="N842" s="108"/>
      <c r="O842" s="108"/>
      <c r="P842" s="108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  <c r="CN842" s="61"/>
      <c r="CO842" s="61"/>
      <c r="CP842" s="61"/>
      <c r="CQ842" s="61"/>
      <c r="CR842" s="61"/>
      <c r="CS842" s="61"/>
      <c r="CT842" s="61"/>
      <c r="CU842" s="61"/>
      <c r="CV842" s="61"/>
      <c r="CW842" s="61"/>
      <c r="CX842" s="61"/>
      <c r="CY842" s="61"/>
      <c r="CZ842" s="61"/>
      <c r="DA842" s="61"/>
      <c r="DB842" s="61"/>
      <c r="DC842" s="61"/>
      <c r="DD842" s="61"/>
      <c r="DE842" s="61"/>
      <c r="DF842" s="61"/>
      <c r="DG842" s="61"/>
      <c r="DH842" s="61"/>
      <c r="DI842" s="61"/>
      <c r="DJ842" s="61"/>
      <c r="DK842" s="61"/>
    </row>
    <row r="843" spans="1:115" ht="21" customHeight="1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108"/>
      <c r="N843" s="108"/>
      <c r="O843" s="108"/>
      <c r="P843" s="108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  <c r="CD843" s="61"/>
      <c r="CE843" s="61"/>
      <c r="CF843" s="61"/>
      <c r="CG843" s="61"/>
      <c r="CH843" s="61"/>
      <c r="CI843" s="61"/>
      <c r="CJ843" s="61"/>
      <c r="CK843" s="61"/>
      <c r="CL843" s="61"/>
      <c r="CM843" s="61"/>
      <c r="CN843" s="61"/>
      <c r="CO843" s="61"/>
      <c r="CP843" s="61"/>
      <c r="CQ843" s="61"/>
      <c r="CR843" s="61"/>
      <c r="CS843" s="61"/>
      <c r="CT843" s="61"/>
      <c r="CU843" s="61"/>
      <c r="CV843" s="61"/>
      <c r="CW843" s="61"/>
      <c r="CX843" s="61"/>
      <c r="CY843" s="61"/>
      <c r="CZ843" s="61"/>
      <c r="DA843" s="61"/>
      <c r="DB843" s="61"/>
      <c r="DC843" s="61"/>
      <c r="DD843" s="61"/>
      <c r="DE843" s="61"/>
      <c r="DF843" s="61"/>
      <c r="DG843" s="61"/>
      <c r="DH843" s="61"/>
      <c r="DI843" s="61"/>
      <c r="DJ843" s="61"/>
      <c r="DK843" s="61"/>
    </row>
    <row r="844" spans="1:115" ht="21" customHeight="1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108"/>
      <c r="N844" s="108"/>
      <c r="O844" s="108"/>
      <c r="P844" s="108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  <c r="CD844" s="61"/>
      <c r="CE844" s="61"/>
      <c r="CF844" s="61"/>
      <c r="CG844" s="61"/>
      <c r="CH844" s="61"/>
      <c r="CI844" s="61"/>
      <c r="CJ844" s="61"/>
      <c r="CK844" s="61"/>
      <c r="CL844" s="61"/>
      <c r="CM844" s="61"/>
      <c r="CN844" s="61"/>
      <c r="CO844" s="61"/>
      <c r="CP844" s="61"/>
      <c r="CQ844" s="61"/>
      <c r="CR844" s="61"/>
      <c r="CS844" s="61"/>
      <c r="CT844" s="61"/>
      <c r="CU844" s="61"/>
      <c r="CV844" s="61"/>
      <c r="CW844" s="61"/>
      <c r="CX844" s="61"/>
      <c r="CY844" s="61"/>
      <c r="CZ844" s="61"/>
      <c r="DA844" s="61"/>
      <c r="DB844" s="61"/>
      <c r="DC844" s="61"/>
      <c r="DD844" s="61"/>
      <c r="DE844" s="61"/>
      <c r="DF844" s="61"/>
      <c r="DG844" s="61"/>
      <c r="DH844" s="61"/>
      <c r="DI844" s="61"/>
      <c r="DJ844" s="61"/>
      <c r="DK844" s="61"/>
    </row>
    <row r="845" spans="1:115" ht="21" customHeight="1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108"/>
      <c r="N845" s="108"/>
      <c r="O845" s="108"/>
      <c r="P845" s="108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  <c r="CD845" s="61"/>
      <c r="CE845" s="61"/>
      <c r="CF845" s="61"/>
      <c r="CG845" s="61"/>
      <c r="CH845" s="61"/>
      <c r="CI845" s="61"/>
      <c r="CJ845" s="61"/>
      <c r="CK845" s="61"/>
      <c r="CL845" s="61"/>
      <c r="CM845" s="61"/>
      <c r="CN845" s="61"/>
      <c r="CO845" s="61"/>
      <c r="CP845" s="61"/>
      <c r="CQ845" s="61"/>
      <c r="CR845" s="61"/>
      <c r="CS845" s="61"/>
      <c r="CT845" s="61"/>
      <c r="CU845" s="61"/>
      <c r="CV845" s="61"/>
      <c r="CW845" s="61"/>
      <c r="CX845" s="61"/>
      <c r="CY845" s="61"/>
      <c r="CZ845" s="61"/>
      <c r="DA845" s="61"/>
      <c r="DB845" s="61"/>
      <c r="DC845" s="61"/>
      <c r="DD845" s="61"/>
      <c r="DE845" s="61"/>
      <c r="DF845" s="61"/>
      <c r="DG845" s="61"/>
      <c r="DH845" s="61"/>
      <c r="DI845" s="61"/>
      <c r="DJ845" s="61"/>
      <c r="DK845" s="61"/>
    </row>
    <row r="846" spans="1:115" ht="21" customHeight="1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108"/>
      <c r="N846" s="108"/>
      <c r="O846" s="108"/>
      <c r="P846" s="108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  <c r="CD846" s="61"/>
      <c r="CE846" s="61"/>
      <c r="CF846" s="61"/>
      <c r="CG846" s="61"/>
      <c r="CH846" s="61"/>
      <c r="CI846" s="61"/>
      <c r="CJ846" s="61"/>
      <c r="CK846" s="61"/>
      <c r="CL846" s="61"/>
      <c r="CM846" s="61"/>
      <c r="CN846" s="61"/>
      <c r="CO846" s="61"/>
      <c r="CP846" s="61"/>
      <c r="CQ846" s="61"/>
      <c r="CR846" s="61"/>
      <c r="CS846" s="61"/>
      <c r="CT846" s="61"/>
      <c r="CU846" s="61"/>
      <c r="CV846" s="61"/>
      <c r="CW846" s="61"/>
      <c r="CX846" s="61"/>
      <c r="CY846" s="61"/>
      <c r="CZ846" s="61"/>
      <c r="DA846" s="61"/>
      <c r="DB846" s="61"/>
      <c r="DC846" s="61"/>
      <c r="DD846" s="61"/>
      <c r="DE846" s="61"/>
      <c r="DF846" s="61"/>
      <c r="DG846" s="61"/>
      <c r="DH846" s="61"/>
      <c r="DI846" s="61"/>
      <c r="DJ846" s="61"/>
      <c r="DK846" s="61"/>
    </row>
    <row r="847" spans="1:115" ht="21" customHeight="1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108"/>
      <c r="N847" s="108"/>
      <c r="O847" s="108"/>
      <c r="P847" s="108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  <c r="CD847" s="61"/>
      <c r="CE847" s="61"/>
      <c r="CF847" s="61"/>
      <c r="CG847" s="61"/>
      <c r="CH847" s="61"/>
      <c r="CI847" s="61"/>
      <c r="CJ847" s="61"/>
      <c r="CK847" s="61"/>
      <c r="CL847" s="61"/>
      <c r="CM847" s="61"/>
      <c r="CN847" s="61"/>
      <c r="CO847" s="61"/>
      <c r="CP847" s="61"/>
      <c r="CQ847" s="61"/>
      <c r="CR847" s="61"/>
      <c r="CS847" s="61"/>
      <c r="CT847" s="61"/>
      <c r="CU847" s="61"/>
      <c r="CV847" s="61"/>
      <c r="CW847" s="61"/>
      <c r="CX847" s="61"/>
      <c r="CY847" s="61"/>
      <c r="CZ847" s="61"/>
      <c r="DA847" s="61"/>
      <c r="DB847" s="61"/>
      <c r="DC847" s="61"/>
      <c r="DD847" s="61"/>
      <c r="DE847" s="61"/>
      <c r="DF847" s="61"/>
      <c r="DG847" s="61"/>
      <c r="DH847" s="61"/>
      <c r="DI847" s="61"/>
      <c r="DJ847" s="61"/>
      <c r="DK847" s="61"/>
    </row>
    <row r="848" spans="1:115" ht="21" customHeight="1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108"/>
      <c r="N848" s="108"/>
      <c r="O848" s="108"/>
      <c r="P848" s="108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  <c r="CD848" s="61"/>
      <c r="CE848" s="61"/>
      <c r="CF848" s="61"/>
      <c r="CG848" s="61"/>
      <c r="CH848" s="61"/>
      <c r="CI848" s="61"/>
      <c r="CJ848" s="61"/>
      <c r="CK848" s="61"/>
      <c r="CL848" s="61"/>
      <c r="CM848" s="61"/>
      <c r="CN848" s="61"/>
      <c r="CO848" s="61"/>
      <c r="CP848" s="61"/>
      <c r="CQ848" s="61"/>
      <c r="CR848" s="61"/>
      <c r="CS848" s="61"/>
      <c r="CT848" s="61"/>
      <c r="CU848" s="61"/>
      <c r="CV848" s="61"/>
      <c r="CW848" s="61"/>
      <c r="CX848" s="61"/>
      <c r="CY848" s="61"/>
      <c r="CZ848" s="61"/>
      <c r="DA848" s="61"/>
      <c r="DB848" s="61"/>
      <c r="DC848" s="61"/>
      <c r="DD848" s="61"/>
      <c r="DE848" s="61"/>
      <c r="DF848" s="61"/>
      <c r="DG848" s="61"/>
      <c r="DH848" s="61"/>
      <c r="DI848" s="61"/>
      <c r="DJ848" s="61"/>
      <c r="DK848" s="61"/>
    </row>
    <row r="849" spans="1:115" ht="21" customHeight="1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108"/>
      <c r="N849" s="108"/>
      <c r="O849" s="108"/>
      <c r="P849" s="108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  <c r="CD849" s="61"/>
      <c r="CE849" s="61"/>
      <c r="CF849" s="61"/>
      <c r="CG849" s="61"/>
      <c r="CH849" s="61"/>
      <c r="CI849" s="61"/>
      <c r="CJ849" s="61"/>
      <c r="CK849" s="61"/>
      <c r="CL849" s="61"/>
      <c r="CM849" s="61"/>
      <c r="CN849" s="61"/>
      <c r="CO849" s="61"/>
      <c r="CP849" s="61"/>
      <c r="CQ849" s="61"/>
      <c r="CR849" s="61"/>
      <c r="CS849" s="61"/>
      <c r="CT849" s="61"/>
      <c r="CU849" s="61"/>
      <c r="CV849" s="61"/>
      <c r="CW849" s="61"/>
      <c r="CX849" s="61"/>
      <c r="CY849" s="61"/>
      <c r="CZ849" s="61"/>
      <c r="DA849" s="61"/>
      <c r="DB849" s="61"/>
      <c r="DC849" s="61"/>
      <c r="DD849" s="61"/>
      <c r="DE849" s="61"/>
      <c r="DF849" s="61"/>
      <c r="DG849" s="61"/>
      <c r="DH849" s="61"/>
      <c r="DI849" s="61"/>
      <c r="DJ849" s="61"/>
      <c r="DK849" s="61"/>
    </row>
    <row r="850" spans="1:115" ht="21" customHeight="1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108"/>
      <c r="N850" s="108"/>
      <c r="O850" s="108"/>
      <c r="P850" s="108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  <c r="CD850" s="61"/>
      <c r="CE850" s="61"/>
      <c r="CF850" s="61"/>
      <c r="CG850" s="61"/>
      <c r="CH850" s="61"/>
      <c r="CI850" s="61"/>
      <c r="CJ850" s="61"/>
      <c r="CK850" s="61"/>
      <c r="CL850" s="61"/>
      <c r="CM850" s="61"/>
      <c r="CN850" s="61"/>
      <c r="CO850" s="61"/>
      <c r="CP850" s="61"/>
      <c r="CQ850" s="61"/>
      <c r="CR850" s="61"/>
      <c r="CS850" s="61"/>
      <c r="CT850" s="61"/>
      <c r="CU850" s="61"/>
      <c r="CV850" s="61"/>
      <c r="CW850" s="61"/>
      <c r="CX850" s="61"/>
      <c r="CY850" s="61"/>
      <c r="CZ850" s="61"/>
      <c r="DA850" s="61"/>
      <c r="DB850" s="61"/>
      <c r="DC850" s="61"/>
      <c r="DD850" s="61"/>
      <c r="DE850" s="61"/>
      <c r="DF850" s="61"/>
      <c r="DG850" s="61"/>
      <c r="DH850" s="61"/>
      <c r="DI850" s="61"/>
      <c r="DJ850" s="61"/>
      <c r="DK850" s="61"/>
    </row>
    <row r="851" spans="1:115" ht="21" customHeight="1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108"/>
      <c r="N851" s="108"/>
      <c r="O851" s="108"/>
      <c r="P851" s="108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  <c r="CD851" s="61"/>
      <c r="CE851" s="61"/>
      <c r="CF851" s="61"/>
      <c r="CG851" s="61"/>
      <c r="CH851" s="61"/>
      <c r="CI851" s="61"/>
      <c r="CJ851" s="61"/>
      <c r="CK851" s="61"/>
      <c r="CL851" s="61"/>
      <c r="CM851" s="61"/>
      <c r="CN851" s="61"/>
      <c r="CO851" s="61"/>
      <c r="CP851" s="61"/>
      <c r="CQ851" s="61"/>
      <c r="CR851" s="61"/>
      <c r="CS851" s="61"/>
      <c r="CT851" s="61"/>
      <c r="CU851" s="61"/>
      <c r="CV851" s="61"/>
      <c r="CW851" s="61"/>
      <c r="CX851" s="61"/>
      <c r="CY851" s="61"/>
      <c r="CZ851" s="61"/>
      <c r="DA851" s="61"/>
      <c r="DB851" s="61"/>
      <c r="DC851" s="61"/>
      <c r="DD851" s="61"/>
      <c r="DE851" s="61"/>
      <c r="DF851" s="61"/>
      <c r="DG851" s="61"/>
      <c r="DH851" s="61"/>
      <c r="DI851" s="61"/>
      <c r="DJ851" s="61"/>
      <c r="DK851" s="61"/>
    </row>
    <row r="852" spans="1:115" ht="21" customHeight="1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108"/>
      <c r="N852" s="108"/>
      <c r="O852" s="108"/>
      <c r="P852" s="108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  <c r="CD852" s="61"/>
      <c r="CE852" s="61"/>
      <c r="CF852" s="61"/>
      <c r="CG852" s="61"/>
      <c r="CH852" s="61"/>
      <c r="CI852" s="61"/>
      <c r="CJ852" s="61"/>
      <c r="CK852" s="61"/>
      <c r="CL852" s="61"/>
      <c r="CM852" s="61"/>
      <c r="CN852" s="61"/>
      <c r="CO852" s="61"/>
      <c r="CP852" s="61"/>
      <c r="CQ852" s="61"/>
      <c r="CR852" s="61"/>
      <c r="CS852" s="61"/>
      <c r="CT852" s="61"/>
      <c r="CU852" s="61"/>
      <c r="CV852" s="61"/>
      <c r="CW852" s="61"/>
      <c r="CX852" s="61"/>
      <c r="CY852" s="61"/>
      <c r="CZ852" s="61"/>
      <c r="DA852" s="61"/>
      <c r="DB852" s="61"/>
      <c r="DC852" s="61"/>
      <c r="DD852" s="61"/>
      <c r="DE852" s="61"/>
      <c r="DF852" s="61"/>
      <c r="DG852" s="61"/>
      <c r="DH852" s="61"/>
      <c r="DI852" s="61"/>
      <c r="DJ852" s="61"/>
      <c r="DK852" s="61"/>
    </row>
    <row r="853" spans="1:115" ht="21" customHeight="1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108"/>
      <c r="N853" s="108"/>
      <c r="O853" s="108"/>
      <c r="P853" s="108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  <c r="CD853" s="61"/>
      <c r="CE853" s="61"/>
      <c r="CF853" s="61"/>
      <c r="CG853" s="61"/>
      <c r="CH853" s="61"/>
      <c r="CI853" s="61"/>
      <c r="CJ853" s="61"/>
      <c r="CK853" s="61"/>
      <c r="CL853" s="61"/>
      <c r="CM853" s="61"/>
      <c r="CN853" s="61"/>
      <c r="CO853" s="61"/>
      <c r="CP853" s="61"/>
      <c r="CQ853" s="61"/>
      <c r="CR853" s="61"/>
      <c r="CS853" s="61"/>
      <c r="CT853" s="61"/>
      <c r="CU853" s="61"/>
      <c r="CV853" s="61"/>
      <c r="CW853" s="61"/>
      <c r="CX853" s="61"/>
      <c r="CY853" s="61"/>
      <c r="CZ853" s="61"/>
      <c r="DA853" s="61"/>
      <c r="DB853" s="61"/>
      <c r="DC853" s="61"/>
      <c r="DD853" s="61"/>
      <c r="DE853" s="61"/>
      <c r="DF853" s="61"/>
      <c r="DG853" s="61"/>
      <c r="DH853" s="61"/>
      <c r="DI853" s="61"/>
      <c r="DJ853" s="61"/>
      <c r="DK853" s="61"/>
    </row>
    <row r="854" spans="1:115" ht="21" customHeight="1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108"/>
      <c r="N854" s="108"/>
      <c r="O854" s="108"/>
      <c r="P854" s="108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  <c r="CD854" s="61"/>
      <c r="CE854" s="61"/>
      <c r="CF854" s="61"/>
      <c r="CG854" s="61"/>
      <c r="CH854" s="61"/>
      <c r="CI854" s="61"/>
      <c r="CJ854" s="61"/>
      <c r="CK854" s="61"/>
      <c r="CL854" s="61"/>
      <c r="CM854" s="61"/>
      <c r="CN854" s="61"/>
      <c r="CO854" s="61"/>
      <c r="CP854" s="61"/>
      <c r="CQ854" s="61"/>
      <c r="CR854" s="61"/>
      <c r="CS854" s="61"/>
      <c r="CT854" s="61"/>
      <c r="CU854" s="61"/>
      <c r="CV854" s="61"/>
      <c r="CW854" s="61"/>
      <c r="CX854" s="61"/>
      <c r="CY854" s="61"/>
      <c r="CZ854" s="61"/>
      <c r="DA854" s="61"/>
      <c r="DB854" s="61"/>
      <c r="DC854" s="61"/>
      <c r="DD854" s="61"/>
      <c r="DE854" s="61"/>
      <c r="DF854" s="61"/>
      <c r="DG854" s="61"/>
      <c r="DH854" s="61"/>
      <c r="DI854" s="61"/>
      <c r="DJ854" s="61"/>
      <c r="DK854" s="61"/>
    </row>
    <row r="855" spans="1:115" ht="21" customHeight="1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108"/>
      <c r="N855" s="108"/>
      <c r="O855" s="108"/>
      <c r="P855" s="108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  <c r="CD855" s="61"/>
      <c r="CE855" s="61"/>
      <c r="CF855" s="61"/>
      <c r="CG855" s="61"/>
      <c r="CH855" s="61"/>
      <c r="CI855" s="61"/>
      <c r="CJ855" s="61"/>
      <c r="CK855" s="61"/>
      <c r="CL855" s="61"/>
      <c r="CM855" s="61"/>
      <c r="CN855" s="61"/>
      <c r="CO855" s="61"/>
      <c r="CP855" s="61"/>
      <c r="CQ855" s="61"/>
      <c r="CR855" s="61"/>
      <c r="CS855" s="61"/>
      <c r="CT855" s="61"/>
      <c r="CU855" s="61"/>
      <c r="CV855" s="61"/>
      <c r="CW855" s="61"/>
      <c r="CX855" s="61"/>
      <c r="CY855" s="61"/>
      <c r="CZ855" s="61"/>
      <c r="DA855" s="61"/>
      <c r="DB855" s="61"/>
      <c r="DC855" s="61"/>
      <c r="DD855" s="61"/>
      <c r="DE855" s="61"/>
      <c r="DF855" s="61"/>
      <c r="DG855" s="61"/>
      <c r="DH855" s="61"/>
      <c r="DI855" s="61"/>
      <c r="DJ855" s="61"/>
      <c r="DK855" s="61"/>
    </row>
    <row r="856" spans="1:115" ht="21" customHeight="1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108"/>
      <c r="N856" s="108"/>
      <c r="O856" s="108"/>
      <c r="P856" s="108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  <c r="CN856" s="61"/>
      <c r="CO856" s="61"/>
      <c r="CP856" s="61"/>
      <c r="CQ856" s="61"/>
      <c r="CR856" s="61"/>
      <c r="CS856" s="61"/>
      <c r="CT856" s="61"/>
      <c r="CU856" s="61"/>
      <c r="CV856" s="61"/>
      <c r="CW856" s="61"/>
      <c r="CX856" s="61"/>
      <c r="CY856" s="61"/>
      <c r="CZ856" s="61"/>
      <c r="DA856" s="61"/>
      <c r="DB856" s="61"/>
      <c r="DC856" s="61"/>
      <c r="DD856" s="61"/>
      <c r="DE856" s="61"/>
      <c r="DF856" s="61"/>
      <c r="DG856" s="61"/>
      <c r="DH856" s="61"/>
      <c r="DI856" s="61"/>
      <c r="DJ856" s="61"/>
      <c r="DK856" s="61"/>
    </row>
    <row r="857" spans="1:115" ht="21" customHeight="1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108"/>
      <c r="N857" s="108"/>
      <c r="O857" s="108"/>
      <c r="P857" s="108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  <c r="CD857" s="61"/>
      <c r="CE857" s="61"/>
      <c r="CF857" s="61"/>
      <c r="CG857" s="61"/>
      <c r="CH857" s="61"/>
      <c r="CI857" s="61"/>
      <c r="CJ857" s="61"/>
      <c r="CK857" s="61"/>
      <c r="CL857" s="61"/>
      <c r="CM857" s="61"/>
      <c r="CN857" s="61"/>
      <c r="CO857" s="61"/>
      <c r="CP857" s="61"/>
      <c r="CQ857" s="61"/>
      <c r="CR857" s="61"/>
      <c r="CS857" s="61"/>
      <c r="CT857" s="61"/>
      <c r="CU857" s="61"/>
      <c r="CV857" s="61"/>
      <c r="CW857" s="61"/>
      <c r="CX857" s="61"/>
      <c r="CY857" s="61"/>
      <c r="CZ857" s="61"/>
      <c r="DA857" s="61"/>
      <c r="DB857" s="61"/>
      <c r="DC857" s="61"/>
      <c r="DD857" s="61"/>
      <c r="DE857" s="61"/>
      <c r="DF857" s="61"/>
      <c r="DG857" s="61"/>
      <c r="DH857" s="61"/>
      <c r="DI857" s="61"/>
      <c r="DJ857" s="61"/>
      <c r="DK857" s="61"/>
    </row>
    <row r="858" spans="1:115" ht="21" customHeight="1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108"/>
      <c r="N858" s="108"/>
      <c r="O858" s="108"/>
      <c r="P858" s="108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  <c r="CN858" s="61"/>
      <c r="CO858" s="61"/>
      <c r="CP858" s="61"/>
      <c r="CQ858" s="61"/>
      <c r="CR858" s="61"/>
      <c r="CS858" s="61"/>
      <c r="CT858" s="61"/>
      <c r="CU858" s="61"/>
      <c r="CV858" s="61"/>
      <c r="CW858" s="61"/>
      <c r="CX858" s="61"/>
      <c r="CY858" s="61"/>
      <c r="CZ858" s="61"/>
      <c r="DA858" s="61"/>
      <c r="DB858" s="61"/>
      <c r="DC858" s="61"/>
      <c r="DD858" s="61"/>
      <c r="DE858" s="61"/>
      <c r="DF858" s="61"/>
      <c r="DG858" s="61"/>
      <c r="DH858" s="61"/>
      <c r="DI858" s="61"/>
      <c r="DJ858" s="61"/>
      <c r="DK858" s="61"/>
    </row>
    <row r="859" spans="1:115" ht="21" customHeight="1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108"/>
      <c r="N859" s="108"/>
      <c r="O859" s="108"/>
      <c r="P859" s="108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  <c r="CN859" s="61"/>
      <c r="CO859" s="61"/>
      <c r="CP859" s="61"/>
      <c r="CQ859" s="61"/>
      <c r="CR859" s="61"/>
      <c r="CS859" s="61"/>
      <c r="CT859" s="61"/>
      <c r="CU859" s="61"/>
      <c r="CV859" s="61"/>
      <c r="CW859" s="61"/>
      <c r="CX859" s="61"/>
      <c r="CY859" s="61"/>
      <c r="CZ859" s="61"/>
      <c r="DA859" s="61"/>
      <c r="DB859" s="61"/>
      <c r="DC859" s="61"/>
      <c r="DD859" s="61"/>
      <c r="DE859" s="61"/>
      <c r="DF859" s="61"/>
      <c r="DG859" s="61"/>
      <c r="DH859" s="61"/>
      <c r="DI859" s="61"/>
      <c r="DJ859" s="61"/>
      <c r="DK859" s="61"/>
    </row>
    <row r="860" spans="1:115" ht="21" customHeight="1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108"/>
      <c r="N860" s="108"/>
      <c r="O860" s="108"/>
      <c r="P860" s="108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  <c r="CN860" s="61"/>
      <c r="CO860" s="61"/>
      <c r="CP860" s="61"/>
      <c r="CQ860" s="61"/>
      <c r="CR860" s="61"/>
      <c r="CS860" s="61"/>
      <c r="CT860" s="61"/>
      <c r="CU860" s="61"/>
      <c r="CV860" s="61"/>
      <c r="CW860" s="61"/>
      <c r="CX860" s="61"/>
      <c r="CY860" s="61"/>
      <c r="CZ860" s="61"/>
      <c r="DA860" s="61"/>
      <c r="DB860" s="61"/>
      <c r="DC860" s="61"/>
      <c r="DD860" s="61"/>
      <c r="DE860" s="61"/>
      <c r="DF860" s="61"/>
      <c r="DG860" s="61"/>
      <c r="DH860" s="61"/>
      <c r="DI860" s="61"/>
      <c r="DJ860" s="61"/>
      <c r="DK860" s="61"/>
    </row>
    <row r="861" spans="1:115" ht="21" customHeight="1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108"/>
      <c r="N861" s="108"/>
      <c r="O861" s="108"/>
      <c r="P861" s="108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  <c r="CD861" s="61"/>
      <c r="CE861" s="61"/>
      <c r="CF861" s="61"/>
      <c r="CG861" s="61"/>
      <c r="CH861" s="61"/>
      <c r="CI861" s="61"/>
      <c r="CJ861" s="61"/>
      <c r="CK861" s="61"/>
      <c r="CL861" s="61"/>
      <c r="CM861" s="61"/>
      <c r="CN861" s="61"/>
      <c r="CO861" s="61"/>
      <c r="CP861" s="61"/>
      <c r="CQ861" s="61"/>
      <c r="CR861" s="61"/>
      <c r="CS861" s="61"/>
      <c r="CT861" s="61"/>
      <c r="CU861" s="61"/>
      <c r="CV861" s="61"/>
      <c r="CW861" s="61"/>
      <c r="CX861" s="61"/>
      <c r="CY861" s="61"/>
      <c r="CZ861" s="61"/>
      <c r="DA861" s="61"/>
      <c r="DB861" s="61"/>
      <c r="DC861" s="61"/>
      <c r="DD861" s="61"/>
      <c r="DE861" s="61"/>
      <c r="DF861" s="61"/>
      <c r="DG861" s="61"/>
      <c r="DH861" s="61"/>
      <c r="DI861" s="61"/>
      <c r="DJ861" s="61"/>
      <c r="DK861" s="61"/>
    </row>
    <row r="862" spans="1:115" ht="21" customHeight="1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108"/>
      <c r="N862" s="108"/>
      <c r="O862" s="108"/>
      <c r="P862" s="108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/>
      <c r="CI862" s="61"/>
      <c r="CJ862" s="61"/>
      <c r="CK862" s="61"/>
      <c r="CL862" s="61"/>
      <c r="CM862" s="61"/>
      <c r="CN862" s="61"/>
      <c r="CO862" s="61"/>
      <c r="CP862" s="61"/>
      <c r="CQ862" s="61"/>
      <c r="CR862" s="61"/>
      <c r="CS862" s="61"/>
      <c r="CT862" s="61"/>
      <c r="CU862" s="61"/>
      <c r="CV862" s="61"/>
      <c r="CW862" s="61"/>
      <c r="CX862" s="61"/>
      <c r="CY862" s="61"/>
      <c r="CZ862" s="61"/>
      <c r="DA862" s="61"/>
      <c r="DB862" s="61"/>
      <c r="DC862" s="61"/>
      <c r="DD862" s="61"/>
      <c r="DE862" s="61"/>
      <c r="DF862" s="61"/>
      <c r="DG862" s="61"/>
      <c r="DH862" s="61"/>
      <c r="DI862" s="61"/>
      <c r="DJ862" s="61"/>
      <c r="DK862" s="61"/>
    </row>
    <row r="863" spans="1:115" ht="21" customHeight="1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108"/>
      <c r="N863" s="108"/>
      <c r="O863" s="108"/>
      <c r="P863" s="108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  <c r="CD863" s="61"/>
      <c r="CE863" s="61"/>
      <c r="CF863" s="61"/>
      <c r="CG863" s="61"/>
      <c r="CH863" s="61"/>
      <c r="CI863" s="61"/>
      <c r="CJ863" s="61"/>
      <c r="CK863" s="61"/>
      <c r="CL863" s="61"/>
      <c r="CM863" s="61"/>
      <c r="CN863" s="61"/>
      <c r="CO863" s="61"/>
      <c r="CP863" s="61"/>
      <c r="CQ863" s="61"/>
      <c r="CR863" s="61"/>
      <c r="CS863" s="61"/>
      <c r="CT863" s="61"/>
      <c r="CU863" s="61"/>
      <c r="CV863" s="61"/>
      <c r="CW863" s="61"/>
      <c r="CX863" s="61"/>
      <c r="CY863" s="61"/>
      <c r="CZ863" s="61"/>
      <c r="DA863" s="61"/>
      <c r="DB863" s="61"/>
      <c r="DC863" s="61"/>
      <c r="DD863" s="61"/>
      <c r="DE863" s="61"/>
      <c r="DF863" s="61"/>
      <c r="DG863" s="61"/>
      <c r="DH863" s="61"/>
      <c r="DI863" s="61"/>
      <c r="DJ863" s="61"/>
      <c r="DK863" s="61"/>
    </row>
    <row r="864" spans="1:115" ht="21" customHeight="1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108"/>
      <c r="N864" s="108"/>
      <c r="O864" s="108"/>
      <c r="P864" s="108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  <c r="CD864" s="61"/>
      <c r="CE864" s="61"/>
      <c r="CF864" s="61"/>
      <c r="CG864" s="61"/>
      <c r="CH864" s="61"/>
      <c r="CI864" s="61"/>
      <c r="CJ864" s="61"/>
      <c r="CK864" s="61"/>
      <c r="CL864" s="61"/>
      <c r="CM864" s="61"/>
      <c r="CN864" s="61"/>
      <c r="CO864" s="61"/>
      <c r="CP864" s="61"/>
      <c r="CQ864" s="61"/>
      <c r="CR864" s="61"/>
      <c r="CS864" s="61"/>
      <c r="CT864" s="61"/>
      <c r="CU864" s="61"/>
      <c r="CV864" s="61"/>
      <c r="CW864" s="61"/>
      <c r="CX864" s="61"/>
      <c r="CY864" s="61"/>
      <c r="CZ864" s="61"/>
      <c r="DA864" s="61"/>
      <c r="DB864" s="61"/>
      <c r="DC864" s="61"/>
      <c r="DD864" s="61"/>
      <c r="DE864" s="61"/>
      <c r="DF864" s="61"/>
      <c r="DG864" s="61"/>
      <c r="DH864" s="61"/>
      <c r="DI864" s="61"/>
      <c r="DJ864" s="61"/>
      <c r="DK864" s="61"/>
    </row>
    <row r="865" spans="1:115" ht="21" customHeight="1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108"/>
      <c r="N865" s="108"/>
      <c r="O865" s="108"/>
      <c r="P865" s="108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  <c r="CD865" s="61"/>
      <c r="CE865" s="61"/>
      <c r="CF865" s="61"/>
      <c r="CG865" s="61"/>
      <c r="CH865" s="61"/>
      <c r="CI865" s="61"/>
      <c r="CJ865" s="61"/>
      <c r="CK865" s="61"/>
      <c r="CL865" s="61"/>
      <c r="CM865" s="61"/>
      <c r="CN865" s="61"/>
      <c r="CO865" s="61"/>
      <c r="CP865" s="61"/>
      <c r="CQ865" s="61"/>
      <c r="CR865" s="61"/>
      <c r="CS865" s="61"/>
      <c r="CT865" s="61"/>
      <c r="CU865" s="61"/>
      <c r="CV865" s="61"/>
      <c r="CW865" s="61"/>
      <c r="CX865" s="61"/>
      <c r="CY865" s="61"/>
      <c r="CZ865" s="61"/>
      <c r="DA865" s="61"/>
      <c r="DB865" s="61"/>
      <c r="DC865" s="61"/>
      <c r="DD865" s="61"/>
      <c r="DE865" s="61"/>
      <c r="DF865" s="61"/>
      <c r="DG865" s="61"/>
      <c r="DH865" s="61"/>
      <c r="DI865" s="61"/>
      <c r="DJ865" s="61"/>
      <c r="DK865" s="61"/>
    </row>
    <row r="866" spans="1:115" ht="21" customHeight="1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108"/>
      <c r="N866" s="108"/>
      <c r="O866" s="108"/>
      <c r="P866" s="108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  <c r="CD866" s="61"/>
      <c r="CE866" s="61"/>
      <c r="CF866" s="61"/>
      <c r="CG866" s="61"/>
      <c r="CH866" s="61"/>
      <c r="CI866" s="61"/>
      <c r="CJ866" s="61"/>
      <c r="CK866" s="61"/>
      <c r="CL866" s="61"/>
      <c r="CM866" s="61"/>
      <c r="CN866" s="61"/>
      <c r="CO866" s="61"/>
      <c r="CP866" s="61"/>
      <c r="CQ866" s="61"/>
      <c r="CR866" s="61"/>
      <c r="CS866" s="61"/>
      <c r="CT866" s="61"/>
      <c r="CU866" s="61"/>
      <c r="CV866" s="61"/>
      <c r="CW866" s="61"/>
      <c r="CX866" s="61"/>
      <c r="CY866" s="61"/>
      <c r="CZ866" s="61"/>
      <c r="DA866" s="61"/>
      <c r="DB866" s="61"/>
      <c r="DC866" s="61"/>
      <c r="DD866" s="61"/>
      <c r="DE866" s="61"/>
      <c r="DF866" s="61"/>
      <c r="DG866" s="61"/>
      <c r="DH866" s="61"/>
      <c r="DI866" s="61"/>
      <c r="DJ866" s="61"/>
      <c r="DK866" s="61"/>
    </row>
    <row r="867" spans="1:115" ht="21" customHeight="1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108"/>
      <c r="N867" s="108"/>
      <c r="O867" s="108"/>
      <c r="P867" s="108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  <c r="CD867" s="61"/>
      <c r="CE867" s="61"/>
      <c r="CF867" s="61"/>
      <c r="CG867" s="61"/>
      <c r="CH867" s="61"/>
      <c r="CI867" s="61"/>
      <c r="CJ867" s="61"/>
      <c r="CK867" s="61"/>
      <c r="CL867" s="61"/>
      <c r="CM867" s="61"/>
      <c r="CN867" s="61"/>
      <c r="CO867" s="61"/>
      <c r="CP867" s="61"/>
      <c r="CQ867" s="61"/>
      <c r="CR867" s="61"/>
      <c r="CS867" s="61"/>
      <c r="CT867" s="61"/>
      <c r="CU867" s="61"/>
      <c r="CV867" s="61"/>
      <c r="CW867" s="61"/>
      <c r="CX867" s="61"/>
      <c r="CY867" s="61"/>
      <c r="CZ867" s="61"/>
      <c r="DA867" s="61"/>
      <c r="DB867" s="61"/>
      <c r="DC867" s="61"/>
      <c r="DD867" s="61"/>
      <c r="DE867" s="61"/>
      <c r="DF867" s="61"/>
      <c r="DG867" s="61"/>
      <c r="DH867" s="61"/>
      <c r="DI867" s="61"/>
      <c r="DJ867" s="61"/>
      <c r="DK867" s="61"/>
    </row>
    <row r="868" spans="1:115" ht="21" customHeight="1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108"/>
      <c r="N868" s="108"/>
      <c r="O868" s="108"/>
      <c r="P868" s="108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  <c r="CD868" s="61"/>
      <c r="CE868" s="61"/>
      <c r="CF868" s="61"/>
      <c r="CG868" s="61"/>
      <c r="CH868" s="61"/>
      <c r="CI868" s="61"/>
      <c r="CJ868" s="61"/>
      <c r="CK868" s="61"/>
      <c r="CL868" s="61"/>
      <c r="CM868" s="61"/>
      <c r="CN868" s="61"/>
      <c r="CO868" s="61"/>
      <c r="CP868" s="61"/>
      <c r="CQ868" s="61"/>
      <c r="CR868" s="61"/>
      <c r="CS868" s="61"/>
      <c r="CT868" s="61"/>
      <c r="CU868" s="61"/>
      <c r="CV868" s="61"/>
      <c r="CW868" s="61"/>
      <c r="CX868" s="61"/>
      <c r="CY868" s="61"/>
      <c r="CZ868" s="61"/>
      <c r="DA868" s="61"/>
      <c r="DB868" s="61"/>
      <c r="DC868" s="61"/>
      <c r="DD868" s="61"/>
      <c r="DE868" s="61"/>
      <c r="DF868" s="61"/>
      <c r="DG868" s="61"/>
      <c r="DH868" s="61"/>
      <c r="DI868" s="61"/>
      <c r="DJ868" s="61"/>
      <c r="DK868" s="61"/>
    </row>
    <row r="869" spans="1:115" ht="21" customHeight="1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108"/>
      <c r="N869" s="108"/>
      <c r="O869" s="108"/>
      <c r="P869" s="108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  <c r="CN869" s="61"/>
      <c r="CO869" s="61"/>
      <c r="CP869" s="61"/>
      <c r="CQ869" s="61"/>
      <c r="CR869" s="61"/>
      <c r="CS869" s="61"/>
      <c r="CT869" s="61"/>
      <c r="CU869" s="61"/>
      <c r="CV869" s="61"/>
      <c r="CW869" s="61"/>
      <c r="CX869" s="61"/>
      <c r="CY869" s="61"/>
      <c r="CZ869" s="61"/>
      <c r="DA869" s="61"/>
      <c r="DB869" s="61"/>
      <c r="DC869" s="61"/>
      <c r="DD869" s="61"/>
      <c r="DE869" s="61"/>
      <c r="DF869" s="61"/>
      <c r="DG869" s="61"/>
      <c r="DH869" s="61"/>
      <c r="DI869" s="61"/>
      <c r="DJ869" s="61"/>
      <c r="DK869" s="61"/>
    </row>
    <row r="870" spans="1:115" ht="21" customHeight="1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108"/>
      <c r="N870" s="108"/>
      <c r="O870" s="108"/>
      <c r="P870" s="108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  <c r="CD870" s="61"/>
      <c r="CE870" s="61"/>
      <c r="CF870" s="61"/>
      <c r="CG870" s="61"/>
      <c r="CH870" s="61"/>
      <c r="CI870" s="61"/>
      <c r="CJ870" s="61"/>
      <c r="CK870" s="61"/>
      <c r="CL870" s="61"/>
      <c r="CM870" s="61"/>
      <c r="CN870" s="61"/>
      <c r="CO870" s="61"/>
      <c r="CP870" s="61"/>
      <c r="CQ870" s="61"/>
      <c r="CR870" s="61"/>
      <c r="CS870" s="61"/>
      <c r="CT870" s="61"/>
      <c r="CU870" s="61"/>
      <c r="CV870" s="61"/>
      <c r="CW870" s="61"/>
      <c r="CX870" s="61"/>
      <c r="CY870" s="61"/>
      <c r="CZ870" s="61"/>
      <c r="DA870" s="61"/>
      <c r="DB870" s="61"/>
      <c r="DC870" s="61"/>
      <c r="DD870" s="61"/>
      <c r="DE870" s="61"/>
      <c r="DF870" s="61"/>
      <c r="DG870" s="61"/>
      <c r="DH870" s="61"/>
      <c r="DI870" s="61"/>
      <c r="DJ870" s="61"/>
      <c r="DK870" s="61"/>
    </row>
    <row r="871" spans="1:115" ht="21" customHeight="1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108"/>
      <c r="N871" s="108"/>
      <c r="O871" s="108"/>
      <c r="P871" s="108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  <c r="CD871" s="61"/>
      <c r="CE871" s="61"/>
      <c r="CF871" s="61"/>
      <c r="CG871" s="61"/>
      <c r="CH871" s="61"/>
      <c r="CI871" s="61"/>
      <c r="CJ871" s="61"/>
      <c r="CK871" s="61"/>
      <c r="CL871" s="61"/>
      <c r="CM871" s="61"/>
      <c r="CN871" s="61"/>
      <c r="CO871" s="61"/>
      <c r="CP871" s="61"/>
      <c r="CQ871" s="61"/>
      <c r="CR871" s="61"/>
      <c r="CS871" s="61"/>
      <c r="CT871" s="61"/>
      <c r="CU871" s="61"/>
      <c r="CV871" s="61"/>
      <c r="CW871" s="61"/>
      <c r="CX871" s="61"/>
      <c r="CY871" s="61"/>
      <c r="CZ871" s="61"/>
      <c r="DA871" s="61"/>
      <c r="DB871" s="61"/>
      <c r="DC871" s="61"/>
      <c r="DD871" s="61"/>
      <c r="DE871" s="61"/>
      <c r="DF871" s="61"/>
      <c r="DG871" s="61"/>
      <c r="DH871" s="61"/>
      <c r="DI871" s="61"/>
      <c r="DJ871" s="61"/>
      <c r="DK871" s="61"/>
    </row>
    <row r="872" spans="1:115" ht="21" customHeight="1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108"/>
      <c r="N872" s="108"/>
      <c r="O872" s="108"/>
      <c r="P872" s="108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  <c r="CD872" s="61"/>
      <c r="CE872" s="61"/>
      <c r="CF872" s="61"/>
      <c r="CG872" s="61"/>
      <c r="CH872" s="61"/>
      <c r="CI872" s="61"/>
      <c r="CJ872" s="61"/>
      <c r="CK872" s="61"/>
      <c r="CL872" s="61"/>
      <c r="CM872" s="61"/>
      <c r="CN872" s="61"/>
      <c r="CO872" s="61"/>
      <c r="CP872" s="61"/>
      <c r="CQ872" s="61"/>
      <c r="CR872" s="61"/>
      <c r="CS872" s="61"/>
      <c r="CT872" s="61"/>
      <c r="CU872" s="61"/>
      <c r="CV872" s="61"/>
      <c r="CW872" s="61"/>
      <c r="CX872" s="61"/>
      <c r="CY872" s="61"/>
      <c r="CZ872" s="61"/>
      <c r="DA872" s="61"/>
      <c r="DB872" s="61"/>
      <c r="DC872" s="61"/>
      <c r="DD872" s="61"/>
      <c r="DE872" s="61"/>
      <c r="DF872" s="61"/>
      <c r="DG872" s="61"/>
      <c r="DH872" s="61"/>
      <c r="DI872" s="61"/>
      <c r="DJ872" s="61"/>
      <c r="DK872" s="61"/>
    </row>
    <row r="873" spans="1:115" ht="21" customHeight="1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108"/>
      <c r="N873" s="108"/>
      <c r="O873" s="108"/>
      <c r="P873" s="108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  <c r="CM873" s="61"/>
      <c r="CN873" s="61"/>
      <c r="CO873" s="61"/>
      <c r="CP873" s="61"/>
      <c r="CQ873" s="61"/>
      <c r="CR873" s="61"/>
      <c r="CS873" s="61"/>
      <c r="CT873" s="61"/>
      <c r="CU873" s="61"/>
      <c r="CV873" s="61"/>
      <c r="CW873" s="61"/>
      <c r="CX873" s="61"/>
      <c r="CY873" s="61"/>
      <c r="CZ873" s="61"/>
      <c r="DA873" s="61"/>
      <c r="DB873" s="61"/>
      <c r="DC873" s="61"/>
      <c r="DD873" s="61"/>
      <c r="DE873" s="61"/>
      <c r="DF873" s="61"/>
      <c r="DG873" s="61"/>
      <c r="DH873" s="61"/>
      <c r="DI873" s="61"/>
      <c r="DJ873" s="61"/>
      <c r="DK873" s="61"/>
    </row>
    <row r="874" spans="1:115" ht="21" customHeight="1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108"/>
      <c r="N874" s="108"/>
      <c r="O874" s="108"/>
      <c r="P874" s="108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  <c r="CD874" s="61"/>
      <c r="CE874" s="61"/>
      <c r="CF874" s="61"/>
      <c r="CG874" s="61"/>
      <c r="CH874" s="61"/>
      <c r="CI874" s="61"/>
      <c r="CJ874" s="61"/>
      <c r="CK874" s="61"/>
      <c r="CL874" s="61"/>
      <c r="CM874" s="61"/>
      <c r="CN874" s="61"/>
      <c r="CO874" s="61"/>
      <c r="CP874" s="61"/>
      <c r="CQ874" s="61"/>
      <c r="CR874" s="61"/>
      <c r="CS874" s="61"/>
      <c r="CT874" s="61"/>
      <c r="CU874" s="61"/>
      <c r="CV874" s="61"/>
      <c r="CW874" s="61"/>
      <c r="CX874" s="61"/>
      <c r="CY874" s="61"/>
      <c r="CZ874" s="61"/>
      <c r="DA874" s="61"/>
      <c r="DB874" s="61"/>
      <c r="DC874" s="61"/>
      <c r="DD874" s="61"/>
      <c r="DE874" s="61"/>
      <c r="DF874" s="61"/>
      <c r="DG874" s="61"/>
      <c r="DH874" s="61"/>
      <c r="DI874" s="61"/>
      <c r="DJ874" s="61"/>
      <c r="DK874" s="61"/>
    </row>
    <row r="875" spans="1:115" ht="21" customHeight="1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108"/>
      <c r="N875" s="108"/>
      <c r="O875" s="108"/>
      <c r="P875" s="108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  <c r="CD875" s="61"/>
      <c r="CE875" s="61"/>
      <c r="CF875" s="61"/>
      <c r="CG875" s="61"/>
      <c r="CH875" s="61"/>
      <c r="CI875" s="61"/>
      <c r="CJ875" s="61"/>
      <c r="CK875" s="61"/>
      <c r="CL875" s="61"/>
      <c r="CM875" s="61"/>
      <c r="CN875" s="61"/>
      <c r="CO875" s="61"/>
      <c r="CP875" s="61"/>
      <c r="CQ875" s="61"/>
      <c r="CR875" s="61"/>
      <c r="CS875" s="61"/>
      <c r="CT875" s="61"/>
      <c r="CU875" s="61"/>
      <c r="CV875" s="61"/>
      <c r="CW875" s="61"/>
      <c r="CX875" s="61"/>
      <c r="CY875" s="61"/>
      <c r="CZ875" s="61"/>
      <c r="DA875" s="61"/>
      <c r="DB875" s="61"/>
      <c r="DC875" s="61"/>
      <c r="DD875" s="61"/>
      <c r="DE875" s="61"/>
      <c r="DF875" s="61"/>
      <c r="DG875" s="61"/>
      <c r="DH875" s="61"/>
      <c r="DI875" s="61"/>
      <c r="DJ875" s="61"/>
      <c r="DK875" s="61"/>
    </row>
    <row r="876" spans="1:115" ht="21" customHeight="1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108"/>
      <c r="N876" s="108"/>
      <c r="O876" s="108"/>
      <c r="P876" s="108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  <c r="CN876" s="61"/>
      <c r="CO876" s="61"/>
      <c r="CP876" s="61"/>
      <c r="CQ876" s="61"/>
      <c r="CR876" s="61"/>
      <c r="CS876" s="61"/>
      <c r="CT876" s="61"/>
      <c r="CU876" s="61"/>
      <c r="CV876" s="61"/>
      <c r="CW876" s="61"/>
      <c r="CX876" s="61"/>
      <c r="CY876" s="61"/>
      <c r="CZ876" s="61"/>
      <c r="DA876" s="61"/>
      <c r="DB876" s="61"/>
      <c r="DC876" s="61"/>
      <c r="DD876" s="61"/>
      <c r="DE876" s="61"/>
      <c r="DF876" s="61"/>
      <c r="DG876" s="61"/>
      <c r="DH876" s="61"/>
      <c r="DI876" s="61"/>
      <c r="DJ876" s="61"/>
      <c r="DK876" s="61"/>
    </row>
    <row r="877" spans="1:115" ht="21" customHeight="1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108"/>
      <c r="N877" s="108"/>
      <c r="O877" s="108"/>
      <c r="P877" s="108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  <c r="CD877" s="61"/>
      <c r="CE877" s="61"/>
      <c r="CF877" s="61"/>
      <c r="CG877" s="61"/>
      <c r="CH877" s="61"/>
      <c r="CI877" s="61"/>
      <c r="CJ877" s="61"/>
      <c r="CK877" s="61"/>
      <c r="CL877" s="61"/>
      <c r="CM877" s="61"/>
      <c r="CN877" s="61"/>
      <c r="CO877" s="61"/>
      <c r="CP877" s="61"/>
      <c r="CQ877" s="61"/>
      <c r="CR877" s="61"/>
      <c r="CS877" s="61"/>
      <c r="CT877" s="61"/>
      <c r="CU877" s="61"/>
      <c r="CV877" s="61"/>
      <c r="CW877" s="61"/>
      <c r="CX877" s="61"/>
      <c r="CY877" s="61"/>
      <c r="CZ877" s="61"/>
      <c r="DA877" s="61"/>
      <c r="DB877" s="61"/>
      <c r="DC877" s="61"/>
      <c r="DD877" s="61"/>
      <c r="DE877" s="61"/>
      <c r="DF877" s="61"/>
      <c r="DG877" s="61"/>
      <c r="DH877" s="61"/>
      <c r="DI877" s="61"/>
      <c r="DJ877" s="61"/>
      <c r="DK877" s="61"/>
    </row>
    <row r="878" spans="1:115" ht="21" customHeight="1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108"/>
      <c r="N878" s="108"/>
      <c r="O878" s="108"/>
      <c r="P878" s="108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  <c r="CN878" s="61"/>
      <c r="CO878" s="61"/>
      <c r="CP878" s="61"/>
      <c r="CQ878" s="61"/>
      <c r="CR878" s="61"/>
      <c r="CS878" s="61"/>
      <c r="CT878" s="61"/>
      <c r="CU878" s="61"/>
      <c r="CV878" s="61"/>
      <c r="CW878" s="61"/>
      <c r="CX878" s="61"/>
      <c r="CY878" s="61"/>
      <c r="CZ878" s="61"/>
      <c r="DA878" s="61"/>
      <c r="DB878" s="61"/>
      <c r="DC878" s="61"/>
      <c r="DD878" s="61"/>
      <c r="DE878" s="61"/>
      <c r="DF878" s="61"/>
      <c r="DG878" s="61"/>
      <c r="DH878" s="61"/>
      <c r="DI878" s="61"/>
      <c r="DJ878" s="61"/>
      <c r="DK878" s="61"/>
    </row>
    <row r="879" spans="1:115" ht="21" customHeight="1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108"/>
      <c r="N879" s="108"/>
      <c r="O879" s="108"/>
      <c r="P879" s="108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  <c r="CD879" s="61"/>
      <c r="CE879" s="61"/>
      <c r="CF879" s="61"/>
      <c r="CG879" s="61"/>
      <c r="CH879" s="61"/>
      <c r="CI879" s="61"/>
      <c r="CJ879" s="61"/>
      <c r="CK879" s="61"/>
      <c r="CL879" s="61"/>
      <c r="CM879" s="61"/>
      <c r="CN879" s="61"/>
      <c r="CO879" s="61"/>
      <c r="CP879" s="61"/>
      <c r="CQ879" s="61"/>
      <c r="CR879" s="61"/>
      <c r="CS879" s="61"/>
      <c r="CT879" s="61"/>
      <c r="CU879" s="61"/>
      <c r="CV879" s="61"/>
      <c r="CW879" s="61"/>
      <c r="CX879" s="61"/>
      <c r="CY879" s="61"/>
      <c r="CZ879" s="61"/>
      <c r="DA879" s="61"/>
      <c r="DB879" s="61"/>
      <c r="DC879" s="61"/>
      <c r="DD879" s="61"/>
      <c r="DE879" s="61"/>
      <c r="DF879" s="61"/>
      <c r="DG879" s="61"/>
      <c r="DH879" s="61"/>
      <c r="DI879" s="61"/>
      <c r="DJ879" s="61"/>
      <c r="DK879" s="61"/>
    </row>
    <row r="880" spans="1:115" ht="21" customHeight="1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108"/>
      <c r="N880" s="108"/>
      <c r="O880" s="108"/>
      <c r="P880" s="108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  <c r="CD880" s="61"/>
      <c r="CE880" s="61"/>
      <c r="CF880" s="61"/>
      <c r="CG880" s="61"/>
      <c r="CH880" s="61"/>
      <c r="CI880" s="61"/>
      <c r="CJ880" s="61"/>
      <c r="CK880" s="61"/>
      <c r="CL880" s="61"/>
      <c r="CM880" s="61"/>
      <c r="CN880" s="61"/>
      <c r="CO880" s="61"/>
      <c r="CP880" s="61"/>
      <c r="CQ880" s="61"/>
      <c r="CR880" s="61"/>
      <c r="CS880" s="61"/>
      <c r="CT880" s="61"/>
      <c r="CU880" s="61"/>
      <c r="CV880" s="61"/>
      <c r="CW880" s="61"/>
      <c r="CX880" s="61"/>
      <c r="CY880" s="61"/>
      <c r="CZ880" s="61"/>
      <c r="DA880" s="61"/>
      <c r="DB880" s="61"/>
      <c r="DC880" s="61"/>
      <c r="DD880" s="61"/>
      <c r="DE880" s="61"/>
      <c r="DF880" s="61"/>
      <c r="DG880" s="61"/>
      <c r="DH880" s="61"/>
      <c r="DI880" s="61"/>
      <c r="DJ880" s="61"/>
      <c r="DK880" s="61"/>
    </row>
    <row r="881" spans="1:115" ht="21" customHeight="1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108"/>
      <c r="N881" s="108"/>
      <c r="O881" s="108"/>
      <c r="P881" s="108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  <c r="CD881" s="61"/>
      <c r="CE881" s="61"/>
      <c r="CF881" s="61"/>
      <c r="CG881" s="61"/>
      <c r="CH881" s="61"/>
      <c r="CI881" s="61"/>
      <c r="CJ881" s="61"/>
      <c r="CK881" s="61"/>
      <c r="CL881" s="61"/>
      <c r="CM881" s="61"/>
      <c r="CN881" s="61"/>
      <c r="CO881" s="61"/>
      <c r="CP881" s="61"/>
      <c r="CQ881" s="61"/>
      <c r="CR881" s="61"/>
      <c r="CS881" s="61"/>
      <c r="CT881" s="61"/>
      <c r="CU881" s="61"/>
      <c r="CV881" s="61"/>
      <c r="CW881" s="61"/>
      <c r="CX881" s="61"/>
      <c r="CY881" s="61"/>
      <c r="CZ881" s="61"/>
      <c r="DA881" s="61"/>
      <c r="DB881" s="61"/>
      <c r="DC881" s="61"/>
      <c r="DD881" s="61"/>
      <c r="DE881" s="61"/>
      <c r="DF881" s="61"/>
      <c r="DG881" s="61"/>
      <c r="DH881" s="61"/>
      <c r="DI881" s="61"/>
      <c r="DJ881" s="61"/>
      <c r="DK881" s="61"/>
    </row>
    <row r="882" spans="1:115" ht="21" customHeight="1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108"/>
      <c r="N882" s="108"/>
      <c r="O882" s="108"/>
      <c r="P882" s="108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  <c r="CD882" s="61"/>
      <c r="CE882" s="61"/>
      <c r="CF882" s="61"/>
      <c r="CG882" s="61"/>
      <c r="CH882" s="61"/>
      <c r="CI882" s="61"/>
      <c r="CJ882" s="61"/>
      <c r="CK882" s="61"/>
      <c r="CL882" s="61"/>
      <c r="CM882" s="61"/>
      <c r="CN882" s="61"/>
      <c r="CO882" s="61"/>
      <c r="CP882" s="61"/>
      <c r="CQ882" s="61"/>
      <c r="CR882" s="61"/>
      <c r="CS882" s="61"/>
      <c r="CT882" s="61"/>
      <c r="CU882" s="61"/>
      <c r="CV882" s="61"/>
      <c r="CW882" s="61"/>
      <c r="CX882" s="61"/>
      <c r="CY882" s="61"/>
      <c r="CZ882" s="61"/>
      <c r="DA882" s="61"/>
      <c r="DB882" s="61"/>
      <c r="DC882" s="61"/>
      <c r="DD882" s="61"/>
      <c r="DE882" s="61"/>
      <c r="DF882" s="61"/>
      <c r="DG882" s="61"/>
      <c r="DH882" s="61"/>
      <c r="DI882" s="61"/>
      <c r="DJ882" s="61"/>
      <c r="DK882" s="61"/>
    </row>
    <row r="883" spans="1:115" ht="21" customHeight="1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108"/>
      <c r="N883" s="108"/>
      <c r="O883" s="108"/>
      <c r="P883" s="108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  <c r="CD883" s="61"/>
      <c r="CE883" s="61"/>
      <c r="CF883" s="61"/>
      <c r="CG883" s="61"/>
      <c r="CH883" s="61"/>
      <c r="CI883" s="61"/>
      <c r="CJ883" s="61"/>
      <c r="CK883" s="61"/>
      <c r="CL883" s="61"/>
      <c r="CM883" s="61"/>
      <c r="CN883" s="61"/>
      <c r="CO883" s="61"/>
      <c r="CP883" s="61"/>
      <c r="CQ883" s="61"/>
      <c r="CR883" s="61"/>
      <c r="CS883" s="61"/>
      <c r="CT883" s="61"/>
      <c r="CU883" s="61"/>
      <c r="CV883" s="61"/>
      <c r="CW883" s="61"/>
      <c r="CX883" s="61"/>
      <c r="CY883" s="61"/>
      <c r="CZ883" s="61"/>
      <c r="DA883" s="61"/>
      <c r="DB883" s="61"/>
      <c r="DC883" s="61"/>
      <c r="DD883" s="61"/>
      <c r="DE883" s="61"/>
      <c r="DF883" s="61"/>
      <c r="DG883" s="61"/>
      <c r="DH883" s="61"/>
      <c r="DI883" s="61"/>
      <c r="DJ883" s="61"/>
      <c r="DK883" s="61"/>
    </row>
    <row r="884" spans="1:115" ht="21" customHeight="1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108"/>
      <c r="N884" s="108"/>
      <c r="O884" s="108"/>
      <c r="P884" s="108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/>
      <c r="CK884" s="61"/>
      <c r="CL884" s="61"/>
      <c r="CM884" s="61"/>
      <c r="CN884" s="61"/>
      <c r="CO884" s="61"/>
      <c r="CP884" s="61"/>
      <c r="CQ884" s="61"/>
      <c r="CR884" s="61"/>
      <c r="CS884" s="61"/>
      <c r="CT884" s="61"/>
      <c r="CU884" s="61"/>
      <c r="CV884" s="61"/>
      <c r="CW884" s="61"/>
      <c r="CX884" s="61"/>
      <c r="CY884" s="61"/>
      <c r="CZ884" s="61"/>
      <c r="DA884" s="61"/>
      <c r="DB884" s="61"/>
      <c r="DC884" s="61"/>
      <c r="DD884" s="61"/>
      <c r="DE884" s="61"/>
      <c r="DF884" s="61"/>
      <c r="DG884" s="61"/>
      <c r="DH884" s="61"/>
      <c r="DI884" s="61"/>
      <c r="DJ884" s="61"/>
      <c r="DK884" s="61"/>
    </row>
    <row r="885" spans="1:115" ht="21" customHeight="1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108"/>
      <c r="N885" s="108"/>
      <c r="O885" s="108"/>
      <c r="P885" s="108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  <c r="CD885" s="61"/>
      <c r="CE885" s="61"/>
      <c r="CF885" s="61"/>
      <c r="CG885" s="61"/>
      <c r="CH885" s="61"/>
      <c r="CI885" s="61"/>
      <c r="CJ885" s="61"/>
      <c r="CK885" s="61"/>
      <c r="CL885" s="61"/>
      <c r="CM885" s="61"/>
      <c r="CN885" s="61"/>
      <c r="CO885" s="61"/>
      <c r="CP885" s="61"/>
      <c r="CQ885" s="61"/>
      <c r="CR885" s="61"/>
      <c r="CS885" s="61"/>
      <c r="CT885" s="61"/>
      <c r="CU885" s="61"/>
      <c r="CV885" s="61"/>
      <c r="CW885" s="61"/>
      <c r="CX885" s="61"/>
      <c r="CY885" s="61"/>
      <c r="CZ885" s="61"/>
      <c r="DA885" s="61"/>
      <c r="DB885" s="61"/>
      <c r="DC885" s="61"/>
      <c r="DD885" s="61"/>
      <c r="DE885" s="61"/>
      <c r="DF885" s="61"/>
      <c r="DG885" s="61"/>
      <c r="DH885" s="61"/>
      <c r="DI885" s="61"/>
      <c r="DJ885" s="61"/>
      <c r="DK885" s="61"/>
    </row>
    <row r="886" spans="1:115" ht="21" customHeight="1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108"/>
      <c r="N886" s="108"/>
      <c r="O886" s="108"/>
      <c r="P886" s="108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  <c r="CD886" s="61"/>
      <c r="CE886" s="61"/>
      <c r="CF886" s="61"/>
      <c r="CG886" s="61"/>
      <c r="CH886" s="61"/>
      <c r="CI886" s="61"/>
      <c r="CJ886" s="61"/>
      <c r="CK886" s="61"/>
      <c r="CL886" s="61"/>
      <c r="CM886" s="61"/>
      <c r="CN886" s="61"/>
      <c r="CO886" s="61"/>
      <c r="CP886" s="61"/>
      <c r="CQ886" s="61"/>
      <c r="CR886" s="61"/>
      <c r="CS886" s="61"/>
      <c r="CT886" s="61"/>
      <c r="CU886" s="61"/>
      <c r="CV886" s="61"/>
      <c r="CW886" s="61"/>
      <c r="CX886" s="61"/>
      <c r="CY886" s="61"/>
      <c r="CZ886" s="61"/>
      <c r="DA886" s="61"/>
      <c r="DB886" s="61"/>
      <c r="DC886" s="61"/>
      <c r="DD886" s="61"/>
      <c r="DE886" s="61"/>
      <c r="DF886" s="61"/>
      <c r="DG886" s="61"/>
      <c r="DH886" s="61"/>
      <c r="DI886" s="61"/>
      <c r="DJ886" s="61"/>
      <c r="DK886" s="61"/>
    </row>
    <row r="887" spans="1:115" ht="21" customHeight="1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108"/>
      <c r="N887" s="108"/>
      <c r="O887" s="108"/>
      <c r="P887" s="108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  <c r="CD887" s="61"/>
      <c r="CE887" s="61"/>
      <c r="CF887" s="61"/>
      <c r="CG887" s="61"/>
      <c r="CH887" s="61"/>
      <c r="CI887" s="61"/>
      <c r="CJ887" s="61"/>
      <c r="CK887" s="61"/>
      <c r="CL887" s="61"/>
      <c r="CM887" s="61"/>
      <c r="CN887" s="61"/>
      <c r="CO887" s="61"/>
      <c r="CP887" s="61"/>
      <c r="CQ887" s="61"/>
      <c r="CR887" s="61"/>
      <c r="CS887" s="61"/>
      <c r="CT887" s="61"/>
      <c r="CU887" s="61"/>
      <c r="CV887" s="61"/>
      <c r="CW887" s="61"/>
      <c r="CX887" s="61"/>
      <c r="CY887" s="61"/>
      <c r="CZ887" s="61"/>
      <c r="DA887" s="61"/>
      <c r="DB887" s="61"/>
      <c r="DC887" s="61"/>
      <c r="DD887" s="61"/>
      <c r="DE887" s="61"/>
      <c r="DF887" s="61"/>
      <c r="DG887" s="61"/>
      <c r="DH887" s="61"/>
      <c r="DI887" s="61"/>
      <c r="DJ887" s="61"/>
      <c r="DK887" s="61"/>
    </row>
    <row r="888" spans="1:115" ht="21" customHeight="1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108"/>
      <c r="N888" s="108"/>
      <c r="O888" s="108"/>
      <c r="P888" s="108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  <c r="CD888" s="61"/>
      <c r="CE888" s="61"/>
      <c r="CF888" s="61"/>
      <c r="CG888" s="61"/>
      <c r="CH888" s="61"/>
      <c r="CI888" s="61"/>
      <c r="CJ888" s="61"/>
      <c r="CK888" s="61"/>
      <c r="CL888" s="61"/>
      <c r="CM888" s="61"/>
      <c r="CN888" s="61"/>
      <c r="CO888" s="61"/>
      <c r="CP888" s="61"/>
      <c r="CQ888" s="61"/>
      <c r="CR888" s="61"/>
      <c r="CS888" s="61"/>
      <c r="CT888" s="61"/>
      <c r="CU888" s="61"/>
      <c r="CV888" s="61"/>
      <c r="CW888" s="61"/>
      <c r="CX888" s="61"/>
      <c r="CY888" s="61"/>
      <c r="CZ888" s="61"/>
      <c r="DA888" s="61"/>
      <c r="DB888" s="61"/>
      <c r="DC888" s="61"/>
      <c r="DD888" s="61"/>
      <c r="DE888" s="61"/>
      <c r="DF888" s="61"/>
      <c r="DG888" s="61"/>
      <c r="DH888" s="61"/>
      <c r="DI888" s="61"/>
      <c r="DJ888" s="61"/>
      <c r="DK888" s="61"/>
    </row>
    <row r="889" spans="1:115" ht="21" customHeight="1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108"/>
      <c r="N889" s="108"/>
      <c r="O889" s="108"/>
      <c r="P889" s="108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  <c r="CD889" s="61"/>
      <c r="CE889" s="61"/>
      <c r="CF889" s="61"/>
      <c r="CG889" s="61"/>
      <c r="CH889" s="61"/>
      <c r="CI889" s="61"/>
      <c r="CJ889" s="61"/>
      <c r="CK889" s="61"/>
      <c r="CL889" s="61"/>
      <c r="CM889" s="61"/>
      <c r="CN889" s="61"/>
      <c r="CO889" s="61"/>
      <c r="CP889" s="61"/>
      <c r="CQ889" s="61"/>
      <c r="CR889" s="61"/>
      <c r="CS889" s="61"/>
      <c r="CT889" s="61"/>
      <c r="CU889" s="61"/>
      <c r="CV889" s="61"/>
      <c r="CW889" s="61"/>
      <c r="CX889" s="61"/>
      <c r="CY889" s="61"/>
      <c r="CZ889" s="61"/>
      <c r="DA889" s="61"/>
      <c r="DB889" s="61"/>
      <c r="DC889" s="61"/>
      <c r="DD889" s="61"/>
      <c r="DE889" s="61"/>
      <c r="DF889" s="61"/>
      <c r="DG889" s="61"/>
      <c r="DH889" s="61"/>
      <c r="DI889" s="61"/>
      <c r="DJ889" s="61"/>
      <c r="DK889" s="61"/>
    </row>
    <row r="890" spans="1:115" ht="21" customHeight="1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108"/>
      <c r="N890" s="108"/>
      <c r="O890" s="108"/>
      <c r="P890" s="108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  <c r="CD890" s="61"/>
      <c r="CE890" s="61"/>
      <c r="CF890" s="61"/>
      <c r="CG890" s="61"/>
      <c r="CH890" s="61"/>
      <c r="CI890" s="61"/>
      <c r="CJ890" s="61"/>
      <c r="CK890" s="61"/>
      <c r="CL890" s="61"/>
      <c r="CM890" s="61"/>
      <c r="CN890" s="61"/>
      <c r="CO890" s="61"/>
      <c r="CP890" s="61"/>
      <c r="CQ890" s="61"/>
      <c r="CR890" s="61"/>
      <c r="CS890" s="61"/>
      <c r="CT890" s="61"/>
      <c r="CU890" s="61"/>
      <c r="CV890" s="61"/>
      <c r="CW890" s="61"/>
      <c r="CX890" s="61"/>
      <c r="CY890" s="61"/>
      <c r="CZ890" s="61"/>
      <c r="DA890" s="61"/>
      <c r="DB890" s="61"/>
      <c r="DC890" s="61"/>
      <c r="DD890" s="61"/>
      <c r="DE890" s="61"/>
      <c r="DF890" s="61"/>
      <c r="DG890" s="61"/>
      <c r="DH890" s="61"/>
      <c r="DI890" s="61"/>
      <c r="DJ890" s="61"/>
      <c r="DK890" s="61"/>
    </row>
    <row r="891" spans="1:115" ht="21" customHeight="1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108"/>
      <c r="N891" s="108"/>
      <c r="O891" s="108"/>
      <c r="P891" s="108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  <c r="CD891" s="61"/>
      <c r="CE891" s="61"/>
      <c r="CF891" s="61"/>
      <c r="CG891" s="61"/>
      <c r="CH891" s="61"/>
      <c r="CI891" s="61"/>
      <c r="CJ891" s="61"/>
      <c r="CK891" s="61"/>
      <c r="CL891" s="61"/>
      <c r="CM891" s="61"/>
      <c r="CN891" s="61"/>
      <c r="CO891" s="61"/>
      <c r="CP891" s="61"/>
      <c r="CQ891" s="61"/>
      <c r="CR891" s="61"/>
      <c r="CS891" s="61"/>
      <c r="CT891" s="61"/>
      <c r="CU891" s="61"/>
      <c r="CV891" s="61"/>
      <c r="CW891" s="61"/>
      <c r="CX891" s="61"/>
      <c r="CY891" s="61"/>
      <c r="CZ891" s="61"/>
      <c r="DA891" s="61"/>
      <c r="DB891" s="61"/>
      <c r="DC891" s="61"/>
      <c r="DD891" s="61"/>
      <c r="DE891" s="61"/>
      <c r="DF891" s="61"/>
      <c r="DG891" s="61"/>
      <c r="DH891" s="61"/>
      <c r="DI891" s="61"/>
      <c r="DJ891" s="61"/>
      <c r="DK891" s="61"/>
    </row>
    <row r="892" spans="1:115" ht="21" customHeight="1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108"/>
      <c r="N892" s="108"/>
      <c r="O892" s="108"/>
      <c r="P892" s="108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  <c r="CD892" s="61"/>
      <c r="CE892" s="61"/>
      <c r="CF892" s="61"/>
      <c r="CG892" s="61"/>
      <c r="CH892" s="61"/>
      <c r="CI892" s="61"/>
      <c r="CJ892" s="61"/>
      <c r="CK892" s="61"/>
      <c r="CL892" s="61"/>
      <c r="CM892" s="61"/>
      <c r="CN892" s="61"/>
      <c r="CO892" s="61"/>
      <c r="CP892" s="61"/>
      <c r="CQ892" s="61"/>
      <c r="CR892" s="61"/>
      <c r="CS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61"/>
      <c r="DH892" s="61"/>
      <c r="DI892" s="61"/>
      <c r="DJ892" s="61"/>
      <c r="DK892" s="61"/>
    </row>
    <row r="893" spans="1:115" ht="21" customHeight="1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108"/>
      <c r="N893" s="108"/>
      <c r="O893" s="108"/>
      <c r="P893" s="108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  <c r="CD893" s="61"/>
      <c r="CE893" s="61"/>
      <c r="CF893" s="61"/>
      <c r="CG893" s="61"/>
      <c r="CH893" s="61"/>
      <c r="CI893" s="61"/>
      <c r="CJ893" s="61"/>
      <c r="CK893" s="61"/>
      <c r="CL893" s="61"/>
      <c r="CM893" s="61"/>
      <c r="CN893" s="61"/>
      <c r="CO893" s="61"/>
      <c r="CP893" s="61"/>
      <c r="CQ893" s="61"/>
      <c r="CR893" s="61"/>
      <c r="CS893" s="61"/>
      <c r="CT893" s="61"/>
      <c r="CU893" s="61"/>
      <c r="CV893" s="61"/>
      <c r="CW893" s="61"/>
      <c r="CX893" s="61"/>
      <c r="CY893" s="61"/>
      <c r="CZ893" s="61"/>
      <c r="DA893" s="61"/>
      <c r="DB893" s="61"/>
      <c r="DC893" s="61"/>
      <c r="DD893" s="61"/>
      <c r="DE893" s="61"/>
      <c r="DF893" s="61"/>
      <c r="DG893" s="61"/>
      <c r="DH893" s="61"/>
      <c r="DI893" s="61"/>
      <c r="DJ893" s="61"/>
      <c r="DK893" s="61"/>
    </row>
    <row r="894" spans="1:115" ht="21" customHeight="1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108"/>
      <c r="N894" s="108"/>
      <c r="O894" s="108"/>
      <c r="P894" s="108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/>
      <c r="CL894" s="61"/>
      <c r="CM894" s="61"/>
      <c r="CN894" s="61"/>
      <c r="CO894" s="61"/>
      <c r="CP894" s="61"/>
      <c r="CQ894" s="61"/>
      <c r="CR894" s="61"/>
      <c r="CS894" s="61"/>
      <c r="CT894" s="61"/>
      <c r="CU894" s="61"/>
      <c r="CV894" s="61"/>
      <c r="CW894" s="61"/>
      <c r="CX894" s="61"/>
      <c r="CY894" s="61"/>
      <c r="CZ894" s="61"/>
      <c r="DA894" s="61"/>
      <c r="DB894" s="61"/>
      <c r="DC894" s="61"/>
      <c r="DD894" s="61"/>
      <c r="DE894" s="61"/>
      <c r="DF894" s="61"/>
      <c r="DG894" s="61"/>
      <c r="DH894" s="61"/>
      <c r="DI894" s="61"/>
      <c r="DJ894" s="61"/>
      <c r="DK894" s="61"/>
    </row>
    <row r="895" spans="1:115" ht="21" customHeight="1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108"/>
      <c r="N895" s="108"/>
      <c r="O895" s="108"/>
      <c r="P895" s="108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  <c r="CD895" s="61"/>
      <c r="CE895" s="61"/>
      <c r="CF895" s="61"/>
      <c r="CG895" s="61"/>
      <c r="CH895" s="61"/>
      <c r="CI895" s="61"/>
      <c r="CJ895" s="61"/>
      <c r="CK895" s="61"/>
      <c r="CL895" s="61"/>
      <c r="CM895" s="61"/>
      <c r="CN895" s="61"/>
      <c r="CO895" s="61"/>
      <c r="CP895" s="61"/>
      <c r="CQ895" s="61"/>
      <c r="CR895" s="61"/>
      <c r="CS895" s="61"/>
      <c r="CT895" s="61"/>
      <c r="CU895" s="61"/>
      <c r="CV895" s="61"/>
      <c r="CW895" s="61"/>
      <c r="CX895" s="61"/>
      <c r="CY895" s="61"/>
      <c r="CZ895" s="61"/>
      <c r="DA895" s="61"/>
      <c r="DB895" s="61"/>
      <c r="DC895" s="61"/>
      <c r="DD895" s="61"/>
      <c r="DE895" s="61"/>
      <c r="DF895" s="61"/>
      <c r="DG895" s="61"/>
      <c r="DH895" s="61"/>
      <c r="DI895" s="61"/>
      <c r="DJ895" s="61"/>
      <c r="DK895" s="61"/>
    </row>
    <row r="896" spans="1:115" ht="21" customHeight="1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108"/>
      <c r="N896" s="108"/>
      <c r="O896" s="108"/>
      <c r="P896" s="108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  <c r="CD896" s="61"/>
      <c r="CE896" s="61"/>
      <c r="CF896" s="61"/>
      <c r="CG896" s="61"/>
      <c r="CH896" s="61"/>
      <c r="CI896" s="61"/>
      <c r="CJ896" s="61"/>
      <c r="CK896" s="61"/>
      <c r="CL896" s="61"/>
      <c r="CM896" s="61"/>
      <c r="CN896" s="61"/>
      <c r="CO896" s="61"/>
      <c r="CP896" s="61"/>
      <c r="CQ896" s="61"/>
      <c r="CR896" s="61"/>
      <c r="CS896" s="61"/>
      <c r="CT896" s="61"/>
      <c r="CU896" s="61"/>
      <c r="CV896" s="61"/>
      <c r="CW896" s="61"/>
      <c r="CX896" s="61"/>
      <c r="CY896" s="61"/>
      <c r="CZ896" s="61"/>
      <c r="DA896" s="61"/>
      <c r="DB896" s="61"/>
      <c r="DC896" s="61"/>
      <c r="DD896" s="61"/>
      <c r="DE896" s="61"/>
      <c r="DF896" s="61"/>
      <c r="DG896" s="61"/>
      <c r="DH896" s="61"/>
      <c r="DI896" s="61"/>
      <c r="DJ896" s="61"/>
      <c r="DK896" s="61"/>
    </row>
    <row r="897" spans="1:115" ht="21" customHeight="1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108"/>
      <c r="N897" s="108"/>
      <c r="O897" s="108"/>
      <c r="P897" s="108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  <c r="CD897" s="61"/>
      <c r="CE897" s="61"/>
      <c r="CF897" s="61"/>
      <c r="CG897" s="61"/>
      <c r="CH897" s="61"/>
      <c r="CI897" s="61"/>
      <c r="CJ897" s="61"/>
      <c r="CK897" s="61"/>
      <c r="CL897" s="61"/>
      <c r="CM897" s="61"/>
      <c r="CN897" s="61"/>
      <c r="CO897" s="61"/>
      <c r="CP897" s="61"/>
      <c r="CQ897" s="61"/>
      <c r="CR897" s="61"/>
      <c r="CS897" s="61"/>
      <c r="CT897" s="61"/>
      <c r="CU897" s="61"/>
      <c r="CV897" s="61"/>
      <c r="CW897" s="61"/>
      <c r="CX897" s="61"/>
      <c r="CY897" s="61"/>
      <c r="CZ897" s="61"/>
      <c r="DA897" s="61"/>
      <c r="DB897" s="61"/>
      <c r="DC897" s="61"/>
      <c r="DD897" s="61"/>
      <c r="DE897" s="61"/>
      <c r="DF897" s="61"/>
      <c r="DG897" s="61"/>
      <c r="DH897" s="61"/>
      <c r="DI897" s="61"/>
      <c r="DJ897" s="61"/>
      <c r="DK897" s="61"/>
    </row>
    <row r="898" spans="1:115" ht="21" customHeight="1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108"/>
      <c r="N898" s="108"/>
      <c r="O898" s="108"/>
      <c r="P898" s="108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  <c r="CD898" s="61"/>
      <c r="CE898" s="61"/>
      <c r="CF898" s="61"/>
      <c r="CG898" s="61"/>
      <c r="CH898" s="61"/>
      <c r="CI898" s="61"/>
      <c r="CJ898" s="61"/>
      <c r="CK898" s="61"/>
      <c r="CL898" s="61"/>
      <c r="CM898" s="61"/>
      <c r="CN898" s="61"/>
      <c r="CO898" s="61"/>
      <c r="CP898" s="61"/>
      <c r="CQ898" s="61"/>
      <c r="CR898" s="61"/>
      <c r="CS898" s="61"/>
      <c r="CT898" s="61"/>
      <c r="CU898" s="61"/>
      <c r="CV898" s="61"/>
      <c r="CW898" s="61"/>
      <c r="CX898" s="61"/>
      <c r="CY898" s="61"/>
      <c r="CZ898" s="61"/>
      <c r="DA898" s="61"/>
      <c r="DB898" s="61"/>
      <c r="DC898" s="61"/>
      <c r="DD898" s="61"/>
      <c r="DE898" s="61"/>
      <c r="DF898" s="61"/>
      <c r="DG898" s="61"/>
      <c r="DH898" s="61"/>
      <c r="DI898" s="61"/>
      <c r="DJ898" s="61"/>
      <c r="DK898" s="61"/>
    </row>
    <row r="899" spans="1:115" ht="21" customHeight="1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108"/>
      <c r="N899" s="108"/>
      <c r="O899" s="108"/>
      <c r="P899" s="108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  <c r="CD899" s="61"/>
      <c r="CE899" s="61"/>
      <c r="CF899" s="61"/>
      <c r="CG899" s="61"/>
      <c r="CH899" s="61"/>
      <c r="CI899" s="61"/>
      <c r="CJ899" s="61"/>
      <c r="CK899" s="61"/>
      <c r="CL899" s="61"/>
      <c r="CM899" s="61"/>
      <c r="CN899" s="61"/>
      <c r="CO899" s="61"/>
      <c r="CP899" s="61"/>
      <c r="CQ899" s="61"/>
      <c r="CR899" s="61"/>
      <c r="CS899" s="61"/>
      <c r="CT899" s="61"/>
      <c r="CU899" s="61"/>
      <c r="CV899" s="61"/>
      <c r="CW899" s="61"/>
      <c r="CX899" s="61"/>
      <c r="CY899" s="61"/>
      <c r="CZ899" s="61"/>
      <c r="DA899" s="61"/>
      <c r="DB899" s="61"/>
      <c r="DC899" s="61"/>
      <c r="DD899" s="61"/>
      <c r="DE899" s="61"/>
      <c r="DF899" s="61"/>
      <c r="DG899" s="61"/>
      <c r="DH899" s="61"/>
      <c r="DI899" s="61"/>
      <c r="DJ899" s="61"/>
      <c r="DK899" s="61"/>
    </row>
    <row r="900" spans="1:115" ht="21" customHeight="1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108"/>
      <c r="N900" s="108"/>
      <c r="O900" s="108"/>
      <c r="P900" s="108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  <c r="CD900" s="61"/>
      <c r="CE900" s="61"/>
      <c r="CF900" s="61"/>
      <c r="CG900" s="61"/>
      <c r="CH900" s="61"/>
      <c r="CI900" s="61"/>
      <c r="CJ900" s="61"/>
      <c r="CK900" s="61"/>
      <c r="CL900" s="61"/>
      <c r="CM900" s="61"/>
      <c r="CN900" s="61"/>
      <c r="CO900" s="61"/>
      <c r="CP900" s="61"/>
      <c r="CQ900" s="61"/>
      <c r="CR900" s="61"/>
      <c r="CS900" s="61"/>
      <c r="CT900" s="61"/>
      <c r="CU900" s="61"/>
      <c r="CV900" s="61"/>
      <c r="CW900" s="61"/>
      <c r="CX900" s="61"/>
      <c r="CY900" s="61"/>
      <c r="CZ900" s="61"/>
      <c r="DA900" s="61"/>
      <c r="DB900" s="61"/>
      <c r="DC900" s="61"/>
      <c r="DD900" s="61"/>
      <c r="DE900" s="61"/>
      <c r="DF900" s="61"/>
      <c r="DG900" s="61"/>
      <c r="DH900" s="61"/>
      <c r="DI900" s="61"/>
      <c r="DJ900" s="61"/>
      <c r="DK900" s="61"/>
    </row>
    <row r="901" spans="1:115" ht="21" customHeight="1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108"/>
      <c r="N901" s="108"/>
      <c r="O901" s="108"/>
      <c r="P901" s="108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  <c r="CD901" s="61"/>
      <c r="CE901" s="61"/>
      <c r="CF901" s="61"/>
      <c r="CG901" s="61"/>
      <c r="CH901" s="61"/>
      <c r="CI901" s="61"/>
      <c r="CJ901" s="61"/>
      <c r="CK901" s="61"/>
      <c r="CL901" s="61"/>
      <c r="CM901" s="61"/>
      <c r="CN901" s="61"/>
      <c r="CO901" s="61"/>
      <c r="CP901" s="61"/>
      <c r="CQ901" s="61"/>
      <c r="CR901" s="61"/>
      <c r="CS901" s="61"/>
      <c r="CT901" s="61"/>
      <c r="CU901" s="61"/>
      <c r="CV901" s="61"/>
      <c r="CW901" s="61"/>
      <c r="CX901" s="61"/>
      <c r="CY901" s="61"/>
      <c r="CZ901" s="61"/>
      <c r="DA901" s="61"/>
      <c r="DB901" s="61"/>
      <c r="DC901" s="61"/>
      <c r="DD901" s="61"/>
      <c r="DE901" s="61"/>
      <c r="DF901" s="61"/>
      <c r="DG901" s="61"/>
      <c r="DH901" s="61"/>
      <c r="DI901" s="61"/>
      <c r="DJ901" s="61"/>
      <c r="DK901" s="61"/>
    </row>
    <row r="902" spans="1:115" ht="21" customHeight="1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108"/>
      <c r="N902" s="108"/>
      <c r="O902" s="108"/>
      <c r="P902" s="108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  <c r="CD902" s="61"/>
      <c r="CE902" s="61"/>
      <c r="CF902" s="61"/>
      <c r="CG902" s="61"/>
      <c r="CH902" s="61"/>
      <c r="CI902" s="61"/>
      <c r="CJ902" s="61"/>
      <c r="CK902" s="61"/>
      <c r="CL902" s="61"/>
      <c r="CM902" s="61"/>
      <c r="CN902" s="61"/>
      <c r="CO902" s="61"/>
      <c r="CP902" s="61"/>
      <c r="CQ902" s="61"/>
      <c r="CR902" s="61"/>
      <c r="CS902" s="61"/>
      <c r="CT902" s="61"/>
      <c r="CU902" s="61"/>
      <c r="CV902" s="61"/>
      <c r="CW902" s="61"/>
      <c r="CX902" s="61"/>
      <c r="CY902" s="61"/>
      <c r="CZ902" s="61"/>
      <c r="DA902" s="61"/>
      <c r="DB902" s="61"/>
      <c r="DC902" s="61"/>
      <c r="DD902" s="61"/>
      <c r="DE902" s="61"/>
      <c r="DF902" s="61"/>
      <c r="DG902" s="61"/>
      <c r="DH902" s="61"/>
      <c r="DI902" s="61"/>
      <c r="DJ902" s="61"/>
      <c r="DK902" s="61"/>
    </row>
    <row r="903" spans="1:115" ht="21" customHeight="1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108"/>
      <c r="N903" s="108"/>
      <c r="O903" s="108"/>
      <c r="P903" s="108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  <c r="CD903" s="61"/>
      <c r="CE903" s="61"/>
      <c r="CF903" s="61"/>
      <c r="CG903" s="61"/>
      <c r="CH903" s="61"/>
      <c r="CI903" s="61"/>
      <c r="CJ903" s="61"/>
      <c r="CK903" s="61"/>
      <c r="CL903" s="61"/>
      <c r="CM903" s="61"/>
      <c r="CN903" s="61"/>
      <c r="CO903" s="61"/>
      <c r="CP903" s="61"/>
      <c r="CQ903" s="61"/>
      <c r="CR903" s="61"/>
      <c r="CS903" s="61"/>
      <c r="CT903" s="61"/>
      <c r="CU903" s="61"/>
      <c r="CV903" s="61"/>
      <c r="CW903" s="61"/>
      <c r="CX903" s="61"/>
      <c r="CY903" s="61"/>
      <c r="CZ903" s="61"/>
      <c r="DA903" s="61"/>
      <c r="DB903" s="61"/>
      <c r="DC903" s="61"/>
      <c r="DD903" s="61"/>
      <c r="DE903" s="61"/>
      <c r="DF903" s="61"/>
      <c r="DG903" s="61"/>
      <c r="DH903" s="61"/>
      <c r="DI903" s="61"/>
      <c r="DJ903" s="61"/>
      <c r="DK903" s="61"/>
    </row>
    <row r="904" spans="1:115" ht="21" customHeight="1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108"/>
      <c r="N904" s="108"/>
      <c r="O904" s="108"/>
      <c r="P904" s="108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/>
      <c r="CL904" s="61"/>
      <c r="CM904" s="61"/>
      <c r="CN904" s="61"/>
      <c r="CO904" s="61"/>
      <c r="CP904" s="61"/>
      <c r="CQ904" s="61"/>
      <c r="CR904" s="61"/>
      <c r="CS904" s="61"/>
      <c r="CT904" s="61"/>
      <c r="CU904" s="61"/>
      <c r="CV904" s="61"/>
      <c r="CW904" s="61"/>
      <c r="CX904" s="61"/>
      <c r="CY904" s="61"/>
      <c r="CZ904" s="61"/>
      <c r="DA904" s="61"/>
      <c r="DB904" s="61"/>
      <c r="DC904" s="61"/>
      <c r="DD904" s="61"/>
      <c r="DE904" s="61"/>
      <c r="DF904" s="61"/>
      <c r="DG904" s="61"/>
      <c r="DH904" s="61"/>
      <c r="DI904" s="61"/>
      <c r="DJ904" s="61"/>
      <c r="DK904" s="61"/>
    </row>
    <row r="905" spans="1:115" ht="21" customHeight="1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108"/>
      <c r="N905" s="108"/>
      <c r="O905" s="108"/>
      <c r="P905" s="108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  <c r="CD905" s="61"/>
      <c r="CE905" s="61"/>
      <c r="CF905" s="61"/>
      <c r="CG905" s="61"/>
      <c r="CH905" s="61"/>
      <c r="CI905" s="61"/>
      <c r="CJ905" s="61"/>
      <c r="CK905" s="61"/>
      <c r="CL905" s="61"/>
      <c r="CM905" s="61"/>
      <c r="CN905" s="61"/>
      <c r="CO905" s="61"/>
      <c r="CP905" s="61"/>
      <c r="CQ905" s="61"/>
      <c r="CR905" s="61"/>
      <c r="CS905" s="61"/>
      <c r="CT905" s="61"/>
      <c r="CU905" s="61"/>
      <c r="CV905" s="61"/>
      <c r="CW905" s="61"/>
      <c r="CX905" s="61"/>
      <c r="CY905" s="61"/>
      <c r="CZ905" s="61"/>
      <c r="DA905" s="61"/>
      <c r="DB905" s="61"/>
      <c r="DC905" s="61"/>
      <c r="DD905" s="61"/>
      <c r="DE905" s="61"/>
      <c r="DF905" s="61"/>
      <c r="DG905" s="61"/>
      <c r="DH905" s="61"/>
      <c r="DI905" s="61"/>
      <c r="DJ905" s="61"/>
      <c r="DK905" s="61"/>
    </row>
    <row r="906" spans="1:115" ht="21" customHeight="1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108"/>
      <c r="N906" s="108"/>
      <c r="O906" s="108"/>
      <c r="P906" s="108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  <c r="CD906" s="61"/>
      <c r="CE906" s="61"/>
      <c r="CF906" s="61"/>
      <c r="CG906" s="61"/>
      <c r="CH906" s="61"/>
      <c r="CI906" s="61"/>
      <c r="CJ906" s="61"/>
      <c r="CK906" s="61"/>
      <c r="CL906" s="61"/>
      <c r="CM906" s="61"/>
      <c r="CN906" s="61"/>
      <c r="CO906" s="61"/>
      <c r="CP906" s="61"/>
      <c r="CQ906" s="61"/>
      <c r="CR906" s="61"/>
      <c r="CS906" s="61"/>
      <c r="CT906" s="61"/>
      <c r="CU906" s="61"/>
      <c r="CV906" s="61"/>
      <c r="CW906" s="61"/>
      <c r="CX906" s="61"/>
      <c r="CY906" s="61"/>
      <c r="CZ906" s="61"/>
      <c r="DA906" s="61"/>
      <c r="DB906" s="61"/>
      <c r="DC906" s="61"/>
      <c r="DD906" s="61"/>
      <c r="DE906" s="61"/>
      <c r="DF906" s="61"/>
      <c r="DG906" s="61"/>
      <c r="DH906" s="61"/>
      <c r="DI906" s="61"/>
      <c r="DJ906" s="61"/>
      <c r="DK906" s="61"/>
    </row>
    <row r="907" spans="1:115" ht="21" customHeight="1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108"/>
      <c r="N907" s="108"/>
      <c r="O907" s="108"/>
      <c r="P907" s="108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  <c r="CD907" s="61"/>
      <c r="CE907" s="61"/>
      <c r="CF907" s="61"/>
      <c r="CG907" s="61"/>
      <c r="CH907" s="61"/>
      <c r="CI907" s="61"/>
      <c r="CJ907" s="61"/>
      <c r="CK907" s="61"/>
      <c r="CL907" s="61"/>
      <c r="CM907" s="61"/>
      <c r="CN907" s="61"/>
      <c r="CO907" s="61"/>
      <c r="CP907" s="61"/>
      <c r="CQ907" s="61"/>
      <c r="CR907" s="61"/>
      <c r="CS907" s="61"/>
      <c r="CT907" s="61"/>
      <c r="CU907" s="61"/>
      <c r="CV907" s="61"/>
      <c r="CW907" s="61"/>
      <c r="CX907" s="61"/>
      <c r="CY907" s="61"/>
      <c r="CZ907" s="61"/>
      <c r="DA907" s="61"/>
      <c r="DB907" s="61"/>
      <c r="DC907" s="61"/>
      <c r="DD907" s="61"/>
      <c r="DE907" s="61"/>
      <c r="DF907" s="61"/>
      <c r="DG907" s="61"/>
      <c r="DH907" s="61"/>
      <c r="DI907" s="61"/>
      <c r="DJ907" s="61"/>
      <c r="DK907" s="61"/>
    </row>
    <row r="908" spans="1:115" ht="21" customHeight="1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108"/>
      <c r="N908" s="108"/>
      <c r="O908" s="108"/>
      <c r="P908" s="108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  <c r="CD908" s="61"/>
      <c r="CE908" s="61"/>
      <c r="CF908" s="61"/>
      <c r="CG908" s="61"/>
      <c r="CH908" s="61"/>
      <c r="CI908" s="61"/>
      <c r="CJ908" s="61"/>
      <c r="CK908" s="61"/>
      <c r="CL908" s="61"/>
      <c r="CM908" s="61"/>
      <c r="CN908" s="61"/>
      <c r="CO908" s="61"/>
      <c r="CP908" s="61"/>
      <c r="CQ908" s="61"/>
      <c r="CR908" s="61"/>
      <c r="CS908" s="61"/>
      <c r="CT908" s="61"/>
      <c r="CU908" s="61"/>
      <c r="CV908" s="61"/>
      <c r="CW908" s="61"/>
      <c r="CX908" s="61"/>
      <c r="CY908" s="61"/>
      <c r="CZ908" s="61"/>
      <c r="DA908" s="61"/>
      <c r="DB908" s="61"/>
      <c r="DC908" s="61"/>
      <c r="DD908" s="61"/>
      <c r="DE908" s="61"/>
      <c r="DF908" s="61"/>
      <c r="DG908" s="61"/>
      <c r="DH908" s="61"/>
      <c r="DI908" s="61"/>
      <c r="DJ908" s="61"/>
      <c r="DK908" s="61"/>
    </row>
    <row r="909" spans="1:115" ht="21" customHeight="1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108"/>
      <c r="N909" s="108"/>
      <c r="O909" s="108"/>
      <c r="P909" s="108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  <c r="CD909" s="61"/>
      <c r="CE909" s="61"/>
      <c r="CF909" s="61"/>
      <c r="CG909" s="61"/>
      <c r="CH909" s="61"/>
      <c r="CI909" s="61"/>
      <c r="CJ909" s="61"/>
      <c r="CK909" s="61"/>
      <c r="CL909" s="61"/>
      <c r="CM909" s="61"/>
      <c r="CN909" s="61"/>
      <c r="CO909" s="61"/>
      <c r="CP909" s="61"/>
      <c r="CQ909" s="61"/>
      <c r="CR909" s="61"/>
      <c r="CS909" s="61"/>
      <c r="CT909" s="61"/>
      <c r="CU909" s="61"/>
      <c r="CV909" s="61"/>
      <c r="CW909" s="61"/>
      <c r="CX909" s="61"/>
      <c r="CY909" s="61"/>
      <c r="CZ909" s="61"/>
      <c r="DA909" s="61"/>
      <c r="DB909" s="61"/>
      <c r="DC909" s="61"/>
      <c r="DD909" s="61"/>
      <c r="DE909" s="61"/>
      <c r="DF909" s="61"/>
      <c r="DG909" s="61"/>
      <c r="DH909" s="61"/>
      <c r="DI909" s="61"/>
      <c r="DJ909" s="61"/>
      <c r="DK909" s="61"/>
    </row>
    <row r="910" spans="1:115" ht="21" customHeight="1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108"/>
      <c r="N910" s="108"/>
      <c r="O910" s="108"/>
      <c r="P910" s="108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/>
      <c r="CK910" s="61"/>
      <c r="CL910" s="61"/>
      <c r="CM910" s="61"/>
      <c r="CN910" s="61"/>
      <c r="CO910" s="61"/>
      <c r="CP910" s="61"/>
      <c r="CQ910" s="61"/>
      <c r="CR910" s="61"/>
      <c r="CS910" s="61"/>
      <c r="CT910" s="61"/>
      <c r="CU910" s="61"/>
      <c r="CV910" s="61"/>
      <c r="CW910" s="61"/>
      <c r="CX910" s="61"/>
      <c r="CY910" s="61"/>
      <c r="CZ910" s="61"/>
      <c r="DA910" s="61"/>
      <c r="DB910" s="61"/>
      <c r="DC910" s="61"/>
      <c r="DD910" s="61"/>
      <c r="DE910" s="61"/>
      <c r="DF910" s="61"/>
      <c r="DG910" s="61"/>
      <c r="DH910" s="61"/>
      <c r="DI910" s="61"/>
      <c r="DJ910" s="61"/>
      <c r="DK910" s="61"/>
    </row>
    <row r="911" spans="1:115" ht="21" customHeight="1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108"/>
      <c r="N911" s="108"/>
      <c r="O911" s="108"/>
      <c r="P911" s="108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/>
      <c r="CG911" s="61"/>
      <c r="CH911" s="61"/>
      <c r="CI911" s="61"/>
      <c r="CJ911" s="61"/>
      <c r="CK911" s="61"/>
      <c r="CL911" s="61"/>
      <c r="CM911" s="61"/>
      <c r="CN911" s="61"/>
      <c r="CO911" s="61"/>
      <c r="CP911" s="61"/>
      <c r="CQ911" s="61"/>
      <c r="CR911" s="61"/>
      <c r="CS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/>
      <c r="DG911" s="61"/>
      <c r="DH911" s="61"/>
      <c r="DI911" s="61"/>
      <c r="DJ911" s="61"/>
      <c r="DK911" s="61"/>
    </row>
    <row r="912" spans="1:115" ht="21" customHeight="1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108"/>
      <c r="N912" s="108"/>
      <c r="O912" s="108"/>
      <c r="P912" s="108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  <c r="CD912" s="61"/>
      <c r="CE912" s="61"/>
      <c r="CF912" s="61"/>
      <c r="CG912" s="61"/>
      <c r="CH912" s="61"/>
      <c r="CI912" s="61"/>
      <c r="CJ912" s="61"/>
      <c r="CK912" s="61"/>
      <c r="CL912" s="61"/>
      <c r="CM912" s="61"/>
      <c r="CN912" s="61"/>
      <c r="CO912" s="61"/>
      <c r="CP912" s="61"/>
      <c r="CQ912" s="61"/>
      <c r="CR912" s="61"/>
      <c r="CS912" s="61"/>
      <c r="CT912" s="61"/>
      <c r="CU912" s="61"/>
      <c r="CV912" s="61"/>
      <c r="CW912" s="61"/>
      <c r="CX912" s="61"/>
      <c r="CY912" s="61"/>
      <c r="CZ912" s="61"/>
      <c r="DA912" s="61"/>
      <c r="DB912" s="61"/>
      <c r="DC912" s="61"/>
      <c r="DD912" s="61"/>
      <c r="DE912" s="61"/>
      <c r="DF912" s="61"/>
      <c r="DG912" s="61"/>
      <c r="DH912" s="61"/>
      <c r="DI912" s="61"/>
      <c r="DJ912" s="61"/>
      <c r="DK912" s="61"/>
    </row>
    <row r="913" spans="1:115" ht="21" customHeight="1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108"/>
      <c r="N913" s="108"/>
      <c r="O913" s="108"/>
      <c r="P913" s="108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/>
      <c r="CL913" s="61"/>
      <c r="CM913" s="61"/>
      <c r="CN913" s="61"/>
      <c r="CO913" s="61"/>
      <c r="CP913" s="61"/>
      <c r="CQ913" s="61"/>
      <c r="CR913" s="61"/>
      <c r="CS913" s="61"/>
      <c r="CT913" s="61"/>
      <c r="CU913" s="61"/>
      <c r="CV913" s="61"/>
      <c r="CW913" s="61"/>
      <c r="CX913" s="61"/>
      <c r="CY913" s="61"/>
      <c r="CZ913" s="61"/>
      <c r="DA913" s="61"/>
      <c r="DB913" s="61"/>
      <c r="DC913" s="61"/>
      <c r="DD913" s="61"/>
      <c r="DE913" s="61"/>
      <c r="DF913" s="61"/>
      <c r="DG913" s="61"/>
      <c r="DH913" s="61"/>
      <c r="DI913" s="61"/>
      <c r="DJ913" s="61"/>
      <c r="DK913" s="61"/>
    </row>
    <row r="914" spans="1:115" ht="21" customHeight="1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108"/>
      <c r="N914" s="108"/>
      <c r="O914" s="108"/>
      <c r="P914" s="108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  <c r="CD914" s="61"/>
      <c r="CE914" s="61"/>
      <c r="CF914" s="61"/>
      <c r="CG914" s="61"/>
      <c r="CH914" s="61"/>
      <c r="CI914" s="61"/>
      <c r="CJ914" s="61"/>
      <c r="CK914" s="61"/>
      <c r="CL914" s="61"/>
      <c r="CM914" s="61"/>
      <c r="CN914" s="61"/>
      <c r="CO914" s="61"/>
      <c r="CP914" s="61"/>
      <c r="CQ914" s="61"/>
      <c r="CR914" s="61"/>
      <c r="CS914" s="61"/>
      <c r="CT914" s="61"/>
      <c r="CU914" s="61"/>
      <c r="CV914" s="61"/>
      <c r="CW914" s="61"/>
      <c r="CX914" s="61"/>
      <c r="CY914" s="61"/>
      <c r="CZ914" s="61"/>
      <c r="DA914" s="61"/>
      <c r="DB914" s="61"/>
      <c r="DC914" s="61"/>
      <c r="DD914" s="61"/>
      <c r="DE914" s="61"/>
      <c r="DF914" s="61"/>
      <c r="DG914" s="61"/>
      <c r="DH914" s="61"/>
      <c r="DI914" s="61"/>
      <c r="DJ914" s="61"/>
      <c r="DK914" s="61"/>
    </row>
    <row r="915" spans="1:115" ht="21" customHeight="1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108"/>
      <c r="N915" s="108"/>
      <c r="O915" s="108"/>
      <c r="P915" s="108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  <c r="CD915" s="61"/>
      <c r="CE915" s="61"/>
      <c r="CF915" s="61"/>
      <c r="CG915" s="61"/>
      <c r="CH915" s="61"/>
      <c r="CI915" s="61"/>
      <c r="CJ915" s="61"/>
      <c r="CK915" s="61"/>
      <c r="CL915" s="61"/>
      <c r="CM915" s="61"/>
      <c r="CN915" s="61"/>
      <c r="CO915" s="61"/>
      <c r="CP915" s="61"/>
      <c r="CQ915" s="61"/>
      <c r="CR915" s="61"/>
      <c r="CS915" s="61"/>
      <c r="CT915" s="61"/>
      <c r="CU915" s="61"/>
      <c r="CV915" s="61"/>
      <c r="CW915" s="61"/>
      <c r="CX915" s="61"/>
      <c r="CY915" s="61"/>
      <c r="CZ915" s="61"/>
      <c r="DA915" s="61"/>
      <c r="DB915" s="61"/>
      <c r="DC915" s="61"/>
      <c r="DD915" s="61"/>
      <c r="DE915" s="61"/>
      <c r="DF915" s="61"/>
      <c r="DG915" s="61"/>
      <c r="DH915" s="61"/>
      <c r="DI915" s="61"/>
      <c r="DJ915" s="61"/>
      <c r="DK915" s="61"/>
    </row>
    <row r="916" spans="1:115" ht="21" customHeight="1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108"/>
      <c r="N916" s="108"/>
      <c r="O916" s="108"/>
      <c r="P916" s="108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  <c r="CD916" s="61"/>
      <c r="CE916" s="61"/>
      <c r="CF916" s="61"/>
      <c r="CG916" s="61"/>
      <c r="CH916" s="61"/>
      <c r="CI916" s="61"/>
      <c r="CJ916" s="61"/>
      <c r="CK916" s="61"/>
      <c r="CL916" s="61"/>
      <c r="CM916" s="61"/>
      <c r="CN916" s="61"/>
      <c r="CO916" s="61"/>
      <c r="CP916" s="61"/>
      <c r="CQ916" s="61"/>
      <c r="CR916" s="61"/>
      <c r="CS916" s="61"/>
      <c r="CT916" s="61"/>
      <c r="CU916" s="61"/>
      <c r="CV916" s="61"/>
      <c r="CW916" s="61"/>
      <c r="CX916" s="61"/>
      <c r="CY916" s="61"/>
      <c r="CZ916" s="61"/>
      <c r="DA916" s="61"/>
      <c r="DB916" s="61"/>
      <c r="DC916" s="61"/>
      <c r="DD916" s="61"/>
      <c r="DE916" s="61"/>
      <c r="DF916" s="61"/>
      <c r="DG916" s="61"/>
      <c r="DH916" s="61"/>
      <c r="DI916" s="61"/>
      <c r="DJ916" s="61"/>
      <c r="DK916" s="61"/>
    </row>
    <row r="917" spans="1:115" ht="21" customHeight="1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108"/>
      <c r="N917" s="108"/>
      <c r="O917" s="108"/>
      <c r="P917" s="108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  <c r="CD917" s="61"/>
      <c r="CE917" s="61"/>
      <c r="CF917" s="61"/>
      <c r="CG917" s="61"/>
      <c r="CH917" s="61"/>
      <c r="CI917" s="61"/>
      <c r="CJ917" s="61"/>
      <c r="CK917" s="61"/>
      <c r="CL917" s="61"/>
      <c r="CM917" s="61"/>
      <c r="CN917" s="61"/>
      <c r="CO917" s="61"/>
      <c r="CP917" s="61"/>
      <c r="CQ917" s="61"/>
      <c r="CR917" s="61"/>
      <c r="CS917" s="61"/>
      <c r="CT917" s="61"/>
      <c r="CU917" s="61"/>
      <c r="CV917" s="61"/>
      <c r="CW917" s="61"/>
      <c r="CX917" s="61"/>
      <c r="CY917" s="61"/>
      <c r="CZ917" s="61"/>
      <c r="DA917" s="61"/>
      <c r="DB917" s="61"/>
      <c r="DC917" s="61"/>
      <c r="DD917" s="61"/>
      <c r="DE917" s="61"/>
      <c r="DF917" s="61"/>
      <c r="DG917" s="61"/>
      <c r="DH917" s="61"/>
      <c r="DI917" s="61"/>
      <c r="DJ917" s="61"/>
      <c r="DK917" s="61"/>
    </row>
    <row r="918" spans="1:115" ht="21" customHeight="1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108"/>
      <c r="N918" s="108"/>
      <c r="O918" s="108"/>
      <c r="P918" s="108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  <c r="CD918" s="61"/>
      <c r="CE918" s="61"/>
      <c r="CF918" s="61"/>
      <c r="CG918" s="61"/>
      <c r="CH918" s="61"/>
      <c r="CI918" s="61"/>
      <c r="CJ918" s="61"/>
      <c r="CK918" s="61"/>
      <c r="CL918" s="61"/>
      <c r="CM918" s="61"/>
      <c r="CN918" s="61"/>
      <c r="CO918" s="61"/>
      <c r="CP918" s="61"/>
      <c r="CQ918" s="61"/>
      <c r="CR918" s="61"/>
      <c r="CS918" s="61"/>
      <c r="CT918" s="61"/>
      <c r="CU918" s="61"/>
      <c r="CV918" s="61"/>
      <c r="CW918" s="61"/>
      <c r="CX918" s="61"/>
      <c r="CY918" s="61"/>
      <c r="CZ918" s="61"/>
      <c r="DA918" s="61"/>
      <c r="DB918" s="61"/>
      <c r="DC918" s="61"/>
      <c r="DD918" s="61"/>
      <c r="DE918" s="61"/>
      <c r="DF918" s="61"/>
      <c r="DG918" s="61"/>
      <c r="DH918" s="61"/>
      <c r="DI918" s="61"/>
      <c r="DJ918" s="61"/>
      <c r="DK918" s="61"/>
    </row>
    <row r="919" spans="1:115" ht="21" customHeight="1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108"/>
      <c r="N919" s="108"/>
      <c r="O919" s="108"/>
      <c r="P919" s="108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  <c r="CD919" s="61"/>
      <c r="CE919" s="61"/>
      <c r="CF919" s="61"/>
      <c r="CG919" s="61"/>
      <c r="CH919" s="61"/>
      <c r="CI919" s="61"/>
      <c r="CJ919" s="61"/>
      <c r="CK919" s="61"/>
      <c r="CL919" s="61"/>
      <c r="CM919" s="61"/>
      <c r="CN919" s="61"/>
      <c r="CO919" s="61"/>
      <c r="CP919" s="61"/>
      <c r="CQ919" s="61"/>
      <c r="CR919" s="61"/>
      <c r="CS919" s="61"/>
      <c r="CT919" s="61"/>
      <c r="CU919" s="61"/>
      <c r="CV919" s="61"/>
      <c r="CW919" s="61"/>
      <c r="CX919" s="61"/>
      <c r="CY919" s="61"/>
      <c r="CZ919" s="61"/>
      <c r="DA919" s="61"/>
      <c r="DB919" s="61"/>
      <c r="DC919" s="61"/>
      <c r="DD919" s="61"/>
      <c r="DE919" s="61"/>
      <c r="DF919" s="61"/>
      <c r="DG919" s="61"/>
      <c r="DH919" s="61"/>
      <c r="DI919" s="61"/>
      <c r="DJ919" s="61"/>
      <c r="DK919" s="61"/>
    </row>
    <row r="920" spans="1:115" ht="21" customHeight="1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108"/>
      <c r="N920" s="108"/>
      <c r="O920" s="108"/>
      <c r="P920" s="108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  <c r="CD920" s="61"/>
      <c r="CE920" s="61"/>
      <c r="CF920" s="61"/>
      <c r="CG920" s="61"/>
      <c r="CH920" s="61"/>
      <c r="CI920" s="61"/>
      <c r="CJ920" s="61"/>
      <c r="CK920" s="61"/>
      <c r="CL920" s="61"/>
      <c r="CM920" s="61"/>
      <c r="CN920" s="61"/>
      <c r="CO920" s="61"/>
      <c r="CP920" s="61"/>
      <c r="CQ920" s="61"/>
      <c r="CR920" s="61"/>
      <c r="CS920" s="61"/>
      <c r="CT920" s="61"/>
      <c r="CU920" s="61"/>
      <c r="CV920" s="61"/>
      <c r="CW920" s="61"/>
      <c r="CX920" s="61"/>
      <c r="CY920" s="61"/>
      <c r="CZ920" s="61"/>
      <c r="DA920" s="61"/>
      <c r="DB920" s="61"/>
      <c r="DC920" s="61"/>
      <c r="DD920" s="61"/>
      <c r="DE920" s="61"/>
      <c r="DF920" s="61"/>
      <c r="DG920" s="61"/>
      <c r="DH920" s="61"/>
      <c r="DI920" s="61"/>
      <c r="DJ920" s="61"/>
      <c r="DK920" s="61"/>
    </row>
    <row r="921" spans="1:115" ht="21" customHeight="1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108"/>
      <c r="N921" s="108"/>
      <c r="O921" s="108"/>
      <c r="P921" s="108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  <c r="CD921" s="61"/>
      <c r="CE921" s="61"/>
      <c r="CF921" s="61"/>
      <c r="CG921" s="61"/>
      <c r="CH921" s="61"/>
      <c r="CI921" s="61"/>
      <c r="CJ921" s="61"/>
      <c r="CK921" s="61"/>
      <c r="CL921" s="61"/>
      <c r="CM921" s="61"/>
      <c r="CN921" s="61"/>
      <c r="CO921" s="61"/>
      <c r="CP921" s="61"/>
      <c r="CQ921" s="61"/>
      <c r="CR921" s="61"/>
      <c r="CS921" s="61"/>
      <c r="CT921" s="61"/>
      <c r="CU921" s="61"/>
      <c r="CV921" s="61"/>
      <c r="CW921" s="61"/>
      <c r="CX921" s="61"/>
      <c r="CY921" s="61"/>
      <c r="CZ921" s="61"/>
      <c r="DA921" s="61"/>
      <c r="DB921" s="61"/>
      <c r="DC921" s="61"/>
      <c r="DD921" s="61"/>
      <c r="DE921" s="61"/>
      <c r="DF921" s="61"/>
      <c r="DG921" s="61"/>
      <c r="DH921" s="61"/>
      <c r="DI921" s="61"/>
      <c r="DJ921" s="61"/>
      <c r="DK921" s="61"/>
    </row>
    <row r="922" spans="1:115" ht="21" customHeight="1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108"/>
      <c r="N922" s="108"/>
      <c r="O922" s="108"/>
      <c r="P922" s="108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/>
      <c r="CL922" s="61"/>
      <c r="CM922" s="61"/>
      <c r="CN922" s="61"/>
      <c r="CO922" s="61"/>
      <c r="CP922" s="61"/>
      <c r="CQ922" s="61"/>
      <c r="CR922" s="61"/>
      <c r="CS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61"/>
      <c r="DH922" s="61"/>
      <c r="DI922" s="61"/>
      <c r="DJ922" s="61"/>
      <c r="DK922" s="61"/>
    </row>
    <row r="923" spans="1:115" ht="21" customHeight="1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108"/>
      <c r="N923" s="108"/>
      <c r="O923" s="108"/>
      <c r="P923" s="108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  <c r="CD923" s="61"/>
      <c r="CE923" s="61"/>
      <c r="CF923" s="61"/>
      <c r="CG923" s="61"/>
      <c r="CH923" s="61"/>
      <c r="CI923" s="61"/>
      <c r="CJ923" s="61"/>
      <c r="CK923" s="61"/>
      <c r="CL923" s="61"/>
      <c r="CM923" s="61"/>
      <c r="CN923" s="61"/>
      <c r="CO923" s="61"/>
      <c r="CP923" s="61"/>
      <c r="CQ923" s="61"/>
      <c r="CR923" s="61"/>
      <c r="CS923" s="61"/>
      <c r="CT923" s="61"/>
      <c r="CU923" s="61"/>
      <c r="CV923" s="61"/>
      <c r="CW923" s="61"/>
      <c r="CX923" s="61"/>
      <c r="CY923" s="61"/>
      <c r="CZ923" s="61"/>
      <c r="DA923" s="61"/>
      <c r="DB923" s="61"/>
      <c r="DC923" s="61"/>
      <c r="DD923" s="61"/>
      <c r="DE923" s="61"/>
      <c r="DF923" s="61"/>
      <c r="DG923" s="61"/>
      <c r="DH923" s="61"/>
      <c r="DI923" s="61"/>
      <c r="DJ923" s="61"/>
      <c r="DK923" s="61"/>
    </row>
    <row r="924" spans="1:115" ht="21" customHeight="1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108"/>
      <c r="N924" s="108"/>
      <c r="O924" s="108"/>
      <c r="P924" s="108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  <c r="CD924" s="61"/>
      <c r="CE924" s="61"/>
      <c r="CF924" s="61"/>
      <c r="CG924" s="61"/>
      <c r="CH924" s="61"/>
      <c r="CI924" s="61"/>
      <c r="CJ924" s="61"/>
      <c r="CK924" s="61"/>
      <c r="CL924" s="61"/>
      <c r="CM924" s="61"/>
      <c r="CN924" s="61"/>
      <c r="CO924" s="61"/>
      <c r="CP924" s="61"/>
      <c r="CQ924" s="61"/>
      <c r="CR924" s="61"/>
      <c r="CS924" s="61"/>
      <c r="CT924" s="61"/>
      <c r="CU924" s="61"/>
      <c r="CV924" s="61"/>
      <c r="CW924" s="61"/>
      <c r="CX924" s="61"/>
      <c r="CY924" s="61"/>
      <c r="CZ924" s="61"/>
      <c r="DA924" s="61"/>
      <c r="DB924" s="61"/>
      <c r="DC924" s="61"/>
      <c r="DD924" s="61"/>
      <c r="DE924" s="61"/>
      <c r="DF924" s="61"/>
      <c r="DG924" s="61"/>
      <c r="DH924" s="61"/>
      <c r="DI924" s="61"/>
      <c r="DJ924" s="61"/>
      <c r="DK924" s="61"/>
    </row>
    <row r="925" spans="1:115" ht="21" customHeight="1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108"/>
      <c r="N925" s="108"/>
      <c r="O925" s="108"/>
      <c r="P925" s="108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  <c r="CD925" s="61"/>
      <c r="CE925" s="61"/>
      <c r="CF925" s="61"/>
      <c r="CG925" s="61"/>
      <c r="CH925" s="61"/>
      <c r="CI925" s="61"/>
      <c r="CJ925" s="61"/>
      <c r="CK925" s="61"/>
      <c r="CL925" s="61"/>
      <c r="CM925" s="61"/>
      <c r="CN925" s="61"/>
      <c r="CO925" s="61"/>
      <c r="CP925" s="61"/>
      <c r="CQ925" s="61"/>
      <c r="CR925" s="61"/>
      <c r="CS925" s="61"/>
      <c r="CT925" s="61"/>
      <c r="CU925" s="61"/>
      <c r="CV925" s="61"/>
      <c r="CW925" s="61"/>
      <c r="CX925" s="61"/>
      <c r="CY925" s="61"/>
      <c r="CZ925" s="61"/>
      <c r="DA925" s="61"/>
      <c r="DB925" s="61"/>
      <c r="DC925" s="61"/>
      <c r="DD925" s="61"/>
      <c r="DE925" s="61"/>
      <c r="DF925" s="61"/>
      <c r="DG925" s="61"/>
      <c r="DH925" s="61"/>
      <c r="DI925" s="61"/>
      <c r="DJ925" s="61"/>
      <c r="DK925" s="61"/>
    </row>
    <row r="926" spans="1:115" ht="21" customHeight="1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108"/>
      <c r="N926" s="108"/>
      <c r="O926" s="108"/>
      <c r="P926" s="108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  <c r="CD926" s="61"/>
      <c r="CE926" s="61"/>
      <c r="CF926" s="61"/>
      <c r="CG926" s="61"/>
      <c r="CH926" s="61"/>
      <c r="CI926" s="61"/>
      <c r="CJ926" s="61"/>
      <c r="CK926" s="61"/>
      <c r="CL926" s="61"/>
      <c r="CM926" s="61"/>
      <c r="CN926" s="61"/>
      <c r="CO926" s="61"/>
      <c r="CP926" s="61"/>
      <c r="CQ926" s="61"/>
      <c r="CR926" s="61"/>
      <c r="CS926" s="61"/>
      <c r="CT926" s="61"/>
      <c r="CU926" s="61"/>
      <c r="CV926" s="61"/>
      <c r="CW926" s="61"/>
      <c r="CX926" s="61"/>
      <c r="CY926" s="61"/>
      <c r="CZ926" s="61"/>
      <c r="DA926" s="61"/>
      <c r="DB926" s="61"/>
      <c r="DC926" s="61"/>
      <c r="DD926" s="61"/>
      <c r="DE926" s="61"/>
      <c r="DF926" s="61"/>
      <c r="DG926" s="61"/>
      <c r="DH926" s="61"/>
      <c r="DI926" s="61"/>
      <c r="DJ926" s="61"/>
      <c r="DK926" s="61"/>
    </row>
    <row r="927" spans="1:115" ht="21" customHeight="1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108"/>
      <c r="N927" s="108"/>
      <c r="O927" s="108"/>
      <c r="P927" s="108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  <c r="CD927" s="61"/>
      <c r="CE927" s="61"/>
      <c r="CF927" s="61"/>
      <c r="CG927" s="61"/>
      <c r="CH927" s="61"/>
      <c r="CI927" s="61"/>
      <c r="CJ927" s="61"/>
      <c r="CK927" s="61"/>
      <c r="CL927" s="61"/>
      <c r="CM927" s="61"/>
      <c r="CN927" s="61"/>
      <c r="CO927" s="61"/>
      <c r="CP927" s="61"/>
      <c r="CQ927" s="61"/>
      <c r="CR927" s="61"/>
      <c r="CS927" s="61"/>
      <c r="CT927" s="61"/>
      <c r="CU927" s="61"/>
      <c r="CV927" s="61"/>
      <c r="CW927" s="61"/>
      <c r="CX927" s="61"/>
      <c r="CY927" s="61"/>
      <c r="CZ927" s="61"/>
      <c r="DA927" s="61"/>
      <c r="DB927" s="61"/>
      <c r="DC927" s="61"/>
      <c r="DD927" s="61"/>
      <c r="DE927" s="61"/>
      <c r="DF927" s="61"/>
      <c r="DG927" s="61"/>
      <c r="DH927" s="61"/>
      <c r="DI927" s="61"/>
      <c r="DJ927" s="61"/>
      <c r="DK927" s="61"/>
    </row>
    <row r="928" spans="1:115" ht="21" customHeight="1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108"/>
      <c r="N928" s="108"/>
      <c r="O928" s="108"/>
      <c r="P928" s="108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  <c r="CD928" s="61"/>
      <c r="CE928" s="61"/>
      <c r="CF928" s="61"/>
      <c r="CG928" s="61"/>
      <c r="CH928" s="61"/>
      <c r="CI928" s="61"/>
      <c r="CJ928" s="61"/>
      <c r="CK928" s="61"/>
      <c r="CL928" s="61"/>
      <c r="CM928" s="61"/>
      <c r="CN928" s="61"/>
      <c r="CO928" s="61"/>
      <c r="CP928" s="61"/>
      <c r="CQ928" s="61"/>
      <c r="CR928" s="61"/>
      <c r="CS928" s="61"/>
      <c r="CT928" s="61"/>
      <c r="CU928" s="61"/>
      <c r="CV928" s="61"/>
      <c r="CW928" s="61"/>
      <c r="CX928" s="61"/>
      <c r="CY928" s="61"/>
      <c r="CZ928" s="61"/>
      <c r="DA928" s="61"/>
      <c r="DB928" s="61"/>
      <c r="DC928" s="61"/>
      <c r="DD928" s="61"/>
      <c r="DE928" s="61"/>
      <c r="DF928" s="61"/>
      <c r="DG928" s="61"/>
      <c r="DH928" s="61"/>
      <c r="DI928" s="61"/>
      <c r="DJ928" s="61"/>
      <c r="DK928" s="61"/>
    </row>
    <row r="929" spans="1:115" ht="21" customHeight="1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108"/>
      <c r="N929" s="108"/>
      <c r="O929" s="108"/>
      <c r="P929" s="108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  <c r="CD929" s="61"/>
      <c r="CE929" s="61"/>
      <c r="CF929" s="61"/>
      <c r="CG929" s="61"/>
      <c r="CH929" s="61"/>
      <c r="CI929" s="61"/>
      <c r="CJ929" s="61"/>
      <c r="CK929" s="61"/>
      <c r="CL929" s="61"/>
      <c r="CM929" s="61"/>
      <c r="CN929" s="61"/>
      <c r="CO929" s="61"/>
      <c r="CP929" s="61"/>
      <c r="CQ929" s="61"/>
      <c r="CR929" s="61"/>
      <c r="CS929" s="61"/>
      <c r="CT929" s="61"/>
      <c r="CU929" s="61"/>
      <c r="CV929" s="61"/>
      <c r="CW929" s="61"/>
      <c r="CX929" s="61"/>
      <c r="CY929" s="61"/>
      <c r="CZ929" s="61"/>
      <c r="DA929" s="61"/>
      <c r="DB929" s="61"/>
      <c r="DC929" s="61"/>
      <c r="DD929" s="61"/>
      <c r="DE929" s="61"/>
      <c r="DF929" s="61"/>
      <c r="DG929" s="61"/>
      <c r="DH929" s="61"/>
      <c r="DI929" s="61"/>
      <c r="DJ929" s="61"/>
      <c r="DK929" s="61"/>
    </row>
    <row r="930" spans="1:115" ht="21" customHeight="1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108"/>
      <c r="N930" s="108"/>
      <c r="O930" s="108"/>
      <c r="P930" s="108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/>
      <c r="CL930" s="61"/>
      <c r="CM930" s="61"/>
      <c r="CN930" s="61"/>
      <c r="CO930" s="61"/>
      <c r="CP930" s="61"/>
      <c r="CQ930" s="61"/>
      <c r="CR930" s="61"/>
      <c r="CS930" s="61"/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/>
      <c r="DE930" s="61"/>
      <c r="DF930" s="61"/>
      <c r="DG930" s="61"/>
      <c r="DH930" s="61"/>
      <c r="DI930" s="61"/>
      <c r="DJ930" s="61"/>
      <c r="DK930" s="61"/>
    </row>
    <row r="931" spans="1:115" ht="21" customHeight="1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108"/>
      <c r="N931" s="108"/>
      <c r="O931" s="108"/>
      <c r="P931" s="108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  <c r="CG931" s="61"/>
      <c r="CH931" s="61"/>
      <c r="CI931" s="61"/>
      <c r="CJ931" s="61"/>
      <c r="CK931" s="61"/>
      <c r="CL931" s="61"/>
      <c r="CM931" s="61"/>
      <c r="CN931" s="61"/>
      <c r="CO931" s="61"/>
      <c r="CP931" s="61"/>
      <c r="CQ931" s="61"/>
      <c r="CR931" s="61"/>
      <c r="CS931" s="61"/>
      <c r="CT931" s="61"/>
      <c r="CU931" s="61"/>
      <c r="CV931" s="61"/>
      <c r="CW931" s="61"/>
      <c r="CX931" s="61"/>
      <c r="CY931" s="61"/>
      <c r="CZ931" s="61"/>
      <c r="DA931" s="61"/>
      <c r="DB931" s="61"/>
      <c r="DC931" s="61"/>
      <c r="DD931" s="61"/>
      <c r="DE931" s="61"/>
      <c r="DF931" s="61"/>
      <c r="DG931" s="61"/>
      <c r="DH931" s="61"/>
      <c r="DI931" s="61"/>
      <c r="DJ931" s="61"/>
      <c r="DK931" s="61"/>
    </row>
    <row r="932" spans="1:115" ht="21" customHeight="1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108"/>
      <c r="N932" s="108"/>
      <c r="O932" s="108"/>
      <c r="P932" s="108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  <c r="CD932" s="61"/>
      <c r="CE932" s="61"/>
      <c r="CF932" s="61"/>
      <c r="CG932" s="61"/>
      <c r="CH932" s="61"/>
      <c r="CI932" s="61"/>
      <c r="CJ932" s="61"/>
      <c r="CK932" s="61"/>
      <c r="CL932" s="61"/>
      <c r="CM932" s="61"/>
      <c r="CN932" s="61"/>
      <c r="CO932" s="61"/>
      <c r="CP932" s="61"/>
      <c r="CQ932" s="61"/>
      <c r="CR932" s="61"/>
      <c r="CS932" s="61"/>
      <c r="CT932" s="61"/>
      <c r="CU932" s="61"/>
      <c r="CV932" s="61"/>
      <c r="CW932" s="61"/>
      <c r="CX932" s="61"/>
      <c r="CY932" s="61"/>
      <c r="CZ932" s="61"/>
      <c r="DA932" s="61"/>
      <c r="DB932" s="61"/>
      <c r="DC932" s="61"/>
      <c r="DD932" s="61"/>
      <c r="DE932" s="61"/>
      <c r="DF932" s="61"/>
      <c r="DG932" s="61"/>
      <c r="DH932" s="61"/>
      <c r="DI932" s="61"/>
      <c r="DJ932" s="61"/>
      <c r="DK932" s="61"/>
    </row>
    <row r="933" spans="1:115" ht="21" customHeight="1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108"/>
      <c r="N933" s="108"/>
      <c r="O933" s="108"/>
      <c r="P933" s="108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  <c r="CD933" s="61"/>
      <c r="CE933" s="61"/>
      <c r="CF933" s="61"/>
      <c r="CG933" s="61"/>
      <c r="CH933" s="61"/>
      <c r="CI933" s="61"/>
      <c r="CJ933" s="61"/>
      <c r="CK933" s="61"/>
      <c r="CL933" s="61"/>
      <c r="CM933" s="61"/>
      <c r="CN933" s="61"/>
      <c r="CO933" s="61"/>
      <c r="CP933" s="61"/>
      <c r="CQ933" s="61"/>
      <c r="CR933" s="61"/>
      <c r="CS933" s="61"/>
      <c r="CT933" s="61"/>
      <c r="CU933" s="61"/>
      <c r="CV933" s="61"/>
      <c r="CW933" s="61"/>
      <c r="CX933" s="61"/>
      <c r="CY933" s="61"/>
      <c r="CZ933" s="61"/>
      <c r="DA933" s="61"/>
      <c r="DB933" s="61"/>
      <c r="DC933" s="61"/>
      <c r="DD933" s="61"/>
      <c r="DE933" s="61"/>
      <c r="DF933" s="61"/>
      <c r="DG933" s="61"/>
      <c r="DH933" s="61"/>
      <c r="DI933" s="61"/>
      <c r="DJ933" s="61"/>
      <c r="DK933" s="61"/>
    </row>
    <row r="934" spans="1:115" ht="21" customHeight="1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108"/>
      <c r="N934" s="108"/>
      <c r="O934" s="108"/>
      <c r="P934" s="108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  <c r="CD934" s="61"/>
      <c r="CE934" s="61"/>
      <c r="CF934" s="61"/>
      <c r="CG934" s="61"/>
      <c r="CH934" s="61"/>
      <c r="CI934" s="61"/>
      <c r="CJ934" s="61"/>
      <c r="CK934" s="61"/>
      <c r="CL934" s="61"/>
      <c r="CM934" s="61"/>
      <c r="CN934" s="61"/>
      <c r="CO934" s="61"/>
      <c r="CP934" s="61"/>
      <c r="CQ934" s="61"/>
      <c r="CR934" s="61"/>
      <c r="CS934" s="61"/>
      <c r="CT934" s="61"/>
      <c r="CU934" s="61"/>
      <c r="CV934" s="61"/>
      <c r="CW934" s="61"/>
      <c r="CX934" s="61"/>
      <c r="CY934" s="61"/>
      <c r="CZ934" s="61"/>
      <c r="DA934" s="61"/>
      <c r="DB934" s="61"/>
      <c r="DC934" s="61"/>
      <c r="DD934" s="61"/>
      <c r="DE934" s="61"/>
      <c r="DF934" s="61"/>
      <c r="DG934" s="61"/>
      <c r="DH934" s="61"/>
      <c r="DI934" s="61"/>
      <c r="DJ934" s="61"/>
      <c r="DK934" s="61"/>
    </row>
    <row r="935" spans="1:115" ht="21" customHeight="1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108"/>
      <c r="N935" s="108"/>
      <c r="O935" s="108"/>
      <c r="P935" s="108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  <c r="CM935" s="61"/>
      <c r="CN935" s="61"/>
      <c r="CO935" s="61"/>
      <c r="CP935" s="61"/>
      <c r="CQ935" s="61"/>
      <c r="CR935" s="61"/>
      <c r="CS935" s="61"/>
      <c r="CT935" s="61"/>
      <c r="CU935" s="61"/>
      <c r="CV935" s="61"/>
      <c r="CW935" s="61"/>
      <c r="CX935" s="61"/>
      <c r="CY935" s="61"/>
      <c r="CZ935" s="61"/>
      <c r="DA935" s="61"/>
      <c r="DB935" s="61"/>
      <c r="DC935" s="61"/>
      <c r="DD935" s="61"/>
      <c r="DE935" s="61"/>
      <c r="DF935" s="61"/>
      <c r="DG935" s="61"/>
      <c r="DH935" s="61"/>
      <c r="DI935" s="61"/>
      <c r="DJ935" s="61"/>
      <c r="DK935" s="61"/>
    </row>
    <row r="936" spans="1:115" ht="21" customHeight="1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108"/>
      <c r="N936" s="108"/>
      <c r="O936" s="108"/>
      <c r="P936" s="108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  <c r="CD936" s="61"/>
      <c r="CE936" s="61"/>
      <c r="CF936" s="61"/>
      <c r="CG936" s="61"/>
      <c r="CH936" s="61"/>
      <c r="CI936" s="61"/>
      <c r="CJ936" s="61"/>
      <c r="CK936" s="61"/>
      <c r="CL936" s="61"/>
      <c r="CM936" s="61"/>
      <c r="CN936" s="61"/>
      <c r="CO936" s="61"/>
      <c r="CP936" s="61"/>
      <c r="CQ936" s="61"/>
      <c r="CR936" s="61"/>
      <c r="CS936" s="61"/>
      <c r="CT936" s="61"/>
      <c r="CU936" s="61"/>
      <c r="CV936" s="61"/>
      <c r="CW936" s="61"/>
      <c r="CX936" s="61"/>
      <c r="CY936" s="61"/>
      <c r="CZ936" s="61"/>
      <c r="DA936" s="61"/>
      <c r="DB936" s="61"/>
      <c r="DC936" s="61"/>
      <c r="DD936" s="61"/>
      <c r="DE936" s="61"/>
      <c r="DF936" s="61"/>
      <c r="DG936" s="61"/>
      <c r="DH936" s="61"/>
      <c r="DI936" s="61"/>
      <c r="DJ936" s="61"/>
      <c r="DK936" s="61"/>
    </row>
    <row r="937" spans="1:115" ht="21" customHeight="1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108"/>
      <c r="N937" s="108"/>
      <c r="O937" s="108"/>
      <c r="P937" s="108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  <c r="CD937" s="61"/>
      <c r="CE937" s="61"/>
      <c r="CF937" s="61"/>
      <c r="CG937" s="61"/>
      <c r="CH937" s="61"/>
      <c r="CI937" s="61"/>
      <c r="CJ937" s="61"/>
      <c r="CK937" s="61"/>
      <c r="CL937" s="61"/>
      <c r="CM937" s="61"/>
      <c r="CN937" s="61"/>
      <c r="CO937" s="61"/>
      <c r="CP937" s="61"/>
      <c r="CQ937" s="61"/>
      <c r="CR937" s="61"/>
      <c r="CS937" s="61"/>
      <c r="CT937" s="61"/>
      <c r="CU937" s="61"/>
      <c r="CV937" s="61"/>
      <c r="CW937" s="61"/>
      <c r="CX937" s="61"/>
      <c r="CY937" s="61"/>
      <c r="CZ937" s="61"/>
      <c r="DA937" s="61"/>
      <c r="DB937" s="61"/>
      <c r="DC937" s="61"/>
      <c r="DD937" s="61"/>
      <c r="DE937" s="61"/>
      <c r="DF937" s="61"/>
      <c r="DG937" s="61"/>
      <c r="DH937" s="61"/>
      <c r="DI937" s="61"/>
      <c r="DJ937" s="61"/>
      <c r="DK937" s="61"/>
    </row>
    <row r="938" spans="1:115" ht="21" customHeight="1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108"/>
      <c r="N938" s="108"/>
      <c r="O938" s="108"/>
      <c r="P938" s="108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  <c r="CN938" s="61"/>
      <c r="CO938" s="61"/>
      <c r="CP938" s="61"/>
      <c r="CQ938" s="61"/>
      <c r="CR938" s="61"/>
      <c r="CS938" s="61"/>
      <c r="CT938" s="61"/>
      <c r="CU938" s="61"/>
      <c r="CV938" s="61"/>
      <c r="CW938" s="61"/>
      <c r="CX938" s="61"/>
      <c r="CY938" s="61"/>
      <c r="CZ938" s="61"/>
      <c r="DA938" s="61"/>
      <c r="DB938" s="61"/>
      <c r="DC938" s="61"/>
      <c r="DD938" s="61"/>
      <c r="DE938" s="61"/>
      <c r="DF938" s="61"/>
      <c r="DG938" s="61"/>
      <c r="DH938" s="61"/>
      <c r="DI938" s="61"/>
      <c r="DJ938" s="61"/>
      <c r="DK938" s="61"/>
    </row>
    <row r="939" spans="1:115" ht="21" customHeight="1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108"/>
      <c r="N939" s="108"/>
      <c r="O939" s="108"/>
      <c r="P939" s="108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  <c r="CN939" s="61"/>
      <c r="CO939" s="61"/>
      <c r="CP939" s="61"/>
      <c r="CQ939" s="61"/>
      <c r="CR939" s="61"/>
      <c r="CS939" s="61"/>
      <c r="CT939" s="61"/>
      <c r="CU939" s="61"/>
      <c r="CV939" s="61"/>
      <c r="CW939" s="61"/>
      <c r="CX939" s="61"/>
      <c r="CY939" s="61"/>
      <c r="CZ939" s="61"/>
      <c r="DA939" s="61"/>
      <c r="DB939" s="61"/>
      <c r="DC939" s="61"/>
      <c r="DD939" s="61"/>
      <c r="DE939" s="61"/>
      <c r="DF939" s="61"/>
      <c r="DG939" s="61"/>
      <c r="DH939" s="61"/>
      <c r="DI939" s="61"/>
      <c r="DJ939" s="61"/>
      <c r="DK939" s="61"/>
    </row>
    <row r="940" spans="1:115" ht="21" customHeight="1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108"/>
      <c r="N940" s="108"/>
      <c r="O940" s="108"/>
      <c r="P940" s="108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/>
      <c r="CK940" s="61"/>
      <c r="CL940" s="61"/>
      <c r="CM940" s="61"/>
      <c r="CN940" s="61"/>
      <c r="CO940" s="61"/>
      <c r="CP940" s="61"/>
      <c r="CQ940" s="61"/>
      <c r="CR940" s="61"/>
      <c r="CS940" s="61"/>
      <c r="CT940" s="61"/>
      <c r="CU940" s="61"/>
      <c r="CV940" s="61"/>
      <c r="CW940" s="61"/>
      <c r="CX940" s="61"/>
      <c r="CY940" s="61"/>
      <c r="CZ940" s="61"/>
      <c r="DA940" s="61"/>
      <c r="DB940" s="61"/>
      <c r="DC940" s="61"/>
      <c r="DD940" s="61"/>
      <c r="DE940" s="61"/>
      <c r="DF940" s="61"/>
      <c r="DG940" s="61"/>
      <c r="DH940" s="61"/>
      <c r="DI940" s="61"/>
      <c r="DJ940" s="61"/>
      <c r="DK940" s="61"/>
    </row>
    <row r="941" spans="1:115" ht="21" customHeight="1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108"/>
      <c r="N941" s="108"/>
      <c r="O941" s="108"/>
      <c r="P941" s="108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  <c r="CD941" s="61"/>
      <c r="CE941" s="61"/>
      <c r="CF941" s="61"/>
      <c r="CG941" s="61"/>
      <c r="CH941" s="61"/>
      <c r="CI941" s="61"/>
      <c r="CJ941" s="61"/>
      <c r="CK941" s="61"/>
      <c r="CL941" s="61"/>
      <c r="CM941" s="61"/>
      <c r="CN941" s="61"/>
      <c r="CO941" s="61"/>
      <c r="CP941" s="61"/>
      <c r="CQ941" s="61"/>
      <c r="CR941" s="61"/>
      <c r="CS941" s="61"/>
      <c r="CT941" s="61"/>
      <c r="CU941" s="61"/>
      <c r="CV941" s="61"/>
      <c r="CW941" s="61"/>
      <c r="CX941" s="61"/>
      <c r="CY941" s="61"/>
      <c r="CZ941" s="61"/>
      <c r="DA941" s="61"/>
      <c r="DB941" s="61"/>
      <c r="DC941" s="61"/>
      <c r="DD941" s="61"/>
      <c r="DE941" s="61"/>
      <c r="DF941" s="61"/>
      <c r="DG941" s="61"/>
      <c r="DH941" s="61"/>
      <c r="DI941" s="61"/>
      <c r="DJ941" s="61"/>
      <c r="DK941" s="61"/>
    </row>
    <row r="942" spans="1:115" ht="21" customHeight="1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108"/>
      <c r="N942" s="108"/>
      <c r="O942" s="108"/>
      <c r="P942" s="108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/>
      <c r="CL942" s="61"/>
      <c r="CM942" s="61"/>
      <c r="CN942" s="61"/>
      <c r="CO942" s="61"/>
      <c r="CP942" s="61"/>
      <c r="CQ942" s="61"/>
      <c r="CR942" s="61"/>
      <c r="CS942" s="61"/>
      <c r="CT942" s="61"/>
      <c r="CU942" s="61"/>
      <c r="CV942" s="61"/>
      <c r="CW942" s="61"/>
      <c r="CX942" s="61"/>
      <c r="CY942" s="61"/>
      <c r="CZ942" s="61"/>
      <c r="DA942" s="61"/>
      <c r="DB942" s="61"/>
      <c r="DC942" s="61"/>
      <c r="DD942" s="61"/>
      <c r="DE942" s="61"/>
      <c r="DF942" s="61"/>
      <c r="DG942" s="61"/>
      <c r="DH942" s="61"/>
      <c r="DI942" s="61"/>
      <c r="DJ942" s="61"/>
      <c r="DK942" s="61"/>
    </row>
    <row r="943" spans="1:115" ht="21" customHeight="1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108"/>
      <c r="N943" s="108"/>
      <c r="O943" s="108"/>
      <c r="P943" s="108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/>
      <c r="CL943" s="61"/>
      <c r="CM943" s="61"/>
      <c r="CN943" s="61"/>
      <c r="CO943" s="61"/>
      <c r="CP943" s="61"/>
      <c r="CQ943" s="61"/>
      <c r="CR943" s="61"/>
      <c r="CS943" s="61"/>
      <c r="CT943" s="61"/>
      <c r="CU943" s="61"/>
      <c r="CV943" s="61"/>
      <c r="CW943" s="61"/>
      <c r="CX943" s="61"/>
      <c r="CY943" s="61"/>
      <c r="CZ943" s="61"/>
      <c r="DA943" s="61"/>
      <c r="DB943" s="61"/>
      <c r="DC943" s="61"/>
      <c r="DD943" s="61"/>
      <c r="DE943" s="61"/>
      <c r="DF943" s="61"/>
      <c r="DG943" s="61"/>
      <c r="DH943" s="61"/>
      <c r="DI943" s="61"/>
      <c r="DJ943" s="61"/>
      <c r="DK943" s="61"/>
    </row>
    <row r="944" spans="1:115" ht="21" customHeight="1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108"/>
      <c r="N944" s="108"/>
      <c r="O944" s="108"/>
      <c r="P944" s="108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/>
      <c r="BX944" s="61"/>
      <c r="BY944" s="61"/>
      <c r="BZ944" s="61"/>
      <c r="CA944" s="61"/>
      <c r="CB944" s="61"/>
      <c r="CC944" s="61"/>
      <c r="CD944" s="61"/>
      <c r="CE944" s="61"/>
      <c r="CF944" s="61"/>
      <c r="CG944" s="61"/>
      <c r="CH944" s="61"/>
      <c r="CI944" s="61"/>
      <c r="CJ944" s="61"/>
      <c r="CK944" s="61"/>
      <c r="CL944" s="61"/>
      <c r="CM944" s="61"/>
      <c r="CN944" s="61"/>
      <c r="CO944" s="61"/>
      <c r="CP944" s="61"/>
      <c r="CQ944" s="61"/>
      <c r="CR944" s="61"/>
      <c r="CS944" s="61"/>
      <c r="CT944" s="61"/>
      <c r="CU944" s="61"/>
      <c r="CV944" s="61"/>
      <c r="CW944" s="61"/>
      <c r="CX944" s="61"/>
      <c r="CY944" s="61"/>
      <c r="CZ944" s="61"/>
      <c r="DA944" s="61"/>
      <c r="DB944" s="61"/>
      <c r="DC944" s="61"/>
      <c r="DD944" s="61"/>
      <c r="DE944" s="61"/>
      <c r="DF944" s="61"/>
      <c r="DG944" s="61"/>
      <c r="DH944" s="61"/>
      <c r="DI944" s="61"/>
      <c r="DJ944" s="61"/>
      <c r="DK944" s="61"/>
    </row>
    <row r="945" spans="1:115" ht="21" customHeight="1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108"/>
      <c r="N945" s="108"/>
      <c r="O945" s="108"/>
      <c r="P945" s="108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/>
      <c r="CL945" s="61"/>
      <c r="CM945" s="61"/>
      <c r="CN945" s="61"/>
      <c r="CO945" s="61"/>
      <c r="CP945" s="61"/>
      <c r="CQ945" s="61"/>
      <c r="CR945" s="61"/>
      <c r="CS945" s="61"/>
      <c r="CT945" s="61"/>
      <c r="CU945" s="61"/>
      <c r="CV945" s="61"/>
      <c r="CW945" s="61"/>
      <c r="CX945" s="61"/>
      <c r="CY945" s="61"/>
      <c r="CZ945" s="61"/>
      <c r="DA945" s="61"/>
      <c r="DB945" s="61"/>
      <c r="DC945" s="61"/>
      <c r="DD945" s="61"/>
      <c r="DE945" s="61"/>
      <c r="DF945" s="61"/>
      <c r="DG945" s="61"/>
      <c r="DH945" s="61"/>
      <c r="DI945" s="61"/>
      <c r="DJ945" s="61"/>
      <c r="DK945" s="61"/>
    </row>
    <row r="946" spans="1:115" ht="21" customHeight="1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108"/>
      <c r="N946" s="108"/>
      <c r="O946" s="108"/>
      <c r="P946" s="108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  <c r="CN946" s="61"/>
      <c r="CO946" s="61"/>
      <c r="CP946" s="61"/>
      <c r="CQ946" s="61"/>
      <c r="CR946" s="61"/>
      <c r="CS946" s="61"/>
      <c r="CT946" s="61"/>
      <c r="CU946" s="61"/>
      <c r="CV946" s="61"/>
      <c r="CW946" s="61"/>
      <c r="CX946" s="61"/>
      <c r="CY946" s="61"/>
      <c r="CZ946" s="61"/>
      <c r="DA946" s="61"/>
      <c r="DB946" s="61"/>
      <c r="DC946" s="61"/>
      <c r="DD946" s="61"/>
      <c r="DE946" s="61"/>
      <c r="DF946" s="61"/>
      <c r="DG946" s="61"/>
      <c r="DH946" s="61"/>
      <c r="DI946" s="61"/>
      <c r="DJ946" s="61"/>
      <c r="DK946" s="61"/>
    </row>
    <row r="947" spans="1:115" ht="21" customHeight="1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108"/>
      <c r="N947" s="108"/>
      <c r="O947" s="108"/>
      <c r="P947" s="108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/>
      <c r="CK947" s="61"/>
      <c r="CL947" s="61"/>
      <c r="CM947" s="61"/>
      <c r="CN947" s="61"/>
      <c r="CO947" s="61"/>
      <c r="CP947" s="61"/>
      <c r="CQ947" s="61"/>
      <c r="CR947" s="61"/>
      <c r="CS947" s="61"/>
      <c r="CT947" s="61"/>
      <c r="CU947" s="61"/>
      <c r="CV947" s="61"/>
      <c r="CW947" s="61"/>
      <c r="CX947" s="61"/>
      <c r="CY947" s="61"/>
      <c r="CZ947" s="61"/>
      <c r="DA947" s="61"/>
      <c r="DB947" s="61"/>
      <c r="DC947" s="61"/>
      <c r="DD947" s="61"/>
      <c r="DE947" s="61"/>
      <c r="DF947" s="61"/>
      <c r="DG947" s="61"/>
      <c r="DH947" s="61"/>
      <c r="DI947" s="61"/>
      <c r="DJ947" s="61"/>
      <c r="DK947" s="61"/>
    </row>
    <row r="948" spans="1:115" ht="21" customHeight="1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108"/>
      <c r="N948" s="108"/>
      <c r="O948" s="108"/>
      <c r="P948" s="108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  <c r="CN948" s="61"/>
      <c r="CO948" s="61"/>
      <c r="CP948" s="61"/>
      <c r="CQ948" s="61"/>
      <c r="CR948" s="61"/>
      <c r="CS948" s="61"/>
      <c r="CT948" s="61"/>
      <c r="CU948" s="61"/>
      <c r="CV948" s="61"/>
      <c r="CW948" s="61"/>
      <c r="CX948" s="61"/>
      <c r="CY948" s="61"/>
      <c r="CZ948" s="61"/>
      <c r="DA948" s="61"/>
      <c r="DB948" s="61"/>
      <c r="DC948" s="61"/>
      <c r="DD948" s="61"/>
      <c r="DE948" s="61"/>
      <c r="DF948" s="61"/>
      <c r="DG948" s="61"/>
      <c r="DH948" s="61"/>
      <c r="DI948" s="61"/>
      <c r="DJ948" s="61"/>
      <c r="DK948" s="61"/>
    </row>
    <row r="949" spans="1:115" ht="21" customHeight="1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108"/>
      <c r="N949" s="108"/>
      <c r="O949" s="108"/>
      <c r="P949" s="108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/>
      <c r="CK949" s="61"/>
      <c r="CL949" s="61"/>
      <c r="CM949" s="61"/>
      <c r="CN949" s="61"/>
      <c r="CO949" s="61"/>
      <c r="CP949" s="61"/>
      <c r="CQ949" s="61"/>
      <c r="CR949" s="61"/>
      <c r="CS949" s="61"/>
      <c r="CT949" s="61"/>
      <c r="CU949" s="61"/>
      <c r="CV949" s="61"/>
      <c r="CW949" s="61"/>
      <c r="CX949" s="61"/>
      <c r="CY949" s="61"/>
      <c r="CZ949" s="61"/>
      <c r="DA949" s="61"/>
      <c r="DB949" s="61"/>
      <c r="DC949" s="61"/>
      <c r="DD949" s="61"/>
      <c r="DE949" s="61"/>
      <c r="DF949" s="61"/>
      <c r="DG949" s="61"/>
      <c r="DH949" s="61"/>
      <c r="DI949" s="61"/>
      <c r="DJ949" s="61"/>
      <c r="DK949" s="61"/>
    </row>
    <row r="950" spans="1:115" ht="21" customHeight="1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108"/>
      <c r="N950" s="108"/>
      <c r="O950" s="108"/>
      <c r="P950" s="108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  <c r="CN950" s="61"/>
      <c r="CO950" s="61"/>
      <c r="CP950" s="61"/>
      <c r="CQ950" s="61"/>
      <c r="CR950" s="61"/>
      <c r="CS950" s="61"/>
      <c r="CT950" s="61"/>
      <c r="CU950" s="61"/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61"/>
      <c r="DH950" s="61"/>
      <c r="DI950" s="61"/>
      <c r="DJ950" s="61"/>
      <c r="DK950" s="61"/>
    </row>
    <row r="951" spans="1:115" ht="21" customHeight="1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108"/>
      <c r="N951" s="108"/>
      <c r="O951" s="108"/>
      <c r="P951" s="108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  <c r="CD951" s="61"/>
      <c r="CE951" s="61"/>
      <c r="CF951" s="61"/>
      <c r="CG951" s="61"/>
      <c r="CH951" s="61"/>
      <c r="CI951" s="61"/>
      <c r="CJ951" s="61"/>
      <c r="CK951" s="61"/>
      <c r="CL951" s="61"/>
      <c r="CM951" s="61"/>
      <c r="CN951" s="61"/>
      <c r="CO951" s="61"/>
      <c r="CP951" s="61"/>
      <c r="CQ951" s="61"/>
      <c r="CR951" s="61"/>
      <c r="CS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61"/>
      <c r="DH951" s="61"/>
      <c r="DI951" s="61"/>
      <c r="DJ951" s="61"/>
      <c r="DK951" s="61"/>
    </row>
    <row r="952" spans="1:115" ht="21" customHeight="1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108"/>
      <c r="N952" s="108"/>
      <c r="O952" s="108"/>
      <c r="P952" s="108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  <c r="CN952" s="61"/>
      <c r="CO952" s="61"/>
      <c r="CP952" s="61"/>
      <c r="CQ952" s="61"/>
      <c r="CR952" s="61"/>
      <c r="CS952" s="61"/>
      <c r="CT952" s="61"/>
      <c r="CU952" s="61"/>
      <c r="CV952" s="61"/>
      <c r="CW952" s="61"/>
      <c r="CX952" s="61"/>
      <c r="CY952" s="61"/>
      <c r="CZ952" s="61"/>
      <c r="DA952" s="61"/>
      <c r="DB952" s="61"/>
      <c r="DC952" s="61"/>
      <c r="DD952" s="61"/>
      <c r="DE952" s="61"/>
      <c r="DF952" s="61"/>
      <c r="DG952" s="61"/>
      <c r="DH952" s="61"/>
      <c r="DI952" s="61"/>
      <c r="DJ952" s="61"/>
      <c r="DK952" s="61"/>
    </row>
    <row r="953" spans="1:115" ht="21" customHeight="1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108"/>
      <c r="N953" s="108"/>
      <c r="O953" s="108"/>
      <c r="P953" s="108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  <c r="CN953" s="61"/>
      <c r="CO953" s="61"/>
      <c r="CP953" s="61"/>
      <c r="CQ953" s="61"/>
      <c r="CR953" s="61"/>
      <c r="CS953" s="61"/>
      <c r="CT953" s="61"/>
      <c r="CU953" s="61"/>
      <c r="CV953" s="61"/>
      <c r="CW953" s="61"/>
      <c r="CX953" s="61"/>
      <c r="CY953" s="61"/>
      <c r="CZ953" s="61"/>
      <c r="DA953" s="61"/>
      <c r="DB953" s="61"/>
      <c r="DC953" s="61"/>
      <c r="DD953" s="61"/>
      <c r="DE953" s="61"/>
      <c r="DF953" s="61"/>
      <c r="DG953" s="61"/>
      <c r="DH953" s="61"/>
      <c r="DI953" s="61"/>
      <c r="DJ953" s="61"/>
      <c r="DK953" s="61"/>
    </row>
    <row r="954" spans="1:115" ht="21" customHeight="1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108"/>
      <c r="N954" s="108"/>
      <c r="O954" s="108"/>
      <c r="P954" s="108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  <c r="CN954" s="61"/>
      <c r="CO954" s="61"/>
      <c r="CP954" s="61"/>
      <c r="CQ954" s="61"/>
      <c r="CR954" s="61"/>
      <c r="CS954" s="61"/>
      <c r="CT954" s="61"/>
      <c r="CU954" s="61"/>
      <c r="CV954" s="61"/>
      <c r="CW954" s="61"/>
      <c r="CX954" s="61"/>
      <c r="CY954" s="61"/>
      <c r="CZ954" s="61"/>
      <c r="DA954" s="61"/>
      <c r="DB954" s="61"/>
      <c r="DC954" s="61"/>
      <c r="DD954" s="61"/>
      <c r="DE954" s="61"/>
      <c r="DF954" s="61"/>
      <c r="DG954" s="61"/>
      <c r="DH954" s="61"/>
      <c r="DI954" s="61"/>
      <c r="DJ954" s="61"/>
      <c r="DK954" s="61"/>
    </row>
    <row r="955" spans="1:115" ht="21" customHeight="1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108"/>
      <c r="N955" s="108"/>
      <c r="O955" s="108"/>
      <c r="P955" s="108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  <c r="CN955" s="61"/>
      <c r="CO955" s="61"/>
      <c r="CP955" s="61"/>
      <c r="CQ955" s="61"/>
      <c r="CR955" s="61"/>
      <c r="CS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/>
      <c r="DE955" s="61"/>
      <c r="DF955" s="61"/>
      <c r="DG955" s="61"/>
      <c r="DH955" s="61"/>
      <c r="DI955" s="61"/>
      <c r="DJ955" s="61"/>
      <c r="DK955" s="61"/>
    </row>
    <row r="956" spans="1:115" ht="21" customHeight="1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108"/>
      <c r="N956" s="108"/>
      <c r="O956" s="108"/>
      <c r="P956" s="108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  <c r="CN956" s="61"/>
      <c r="CO956" s="61"/>
      <c r="CP956" s="61"/>
      <c r="CQ956" s="61"/>
      <c r="CR956" s="61"/>
      <c r="CS956" s="61"/>
      <c r="CT956" s="61"/>
      <c r="CU956" s="61"/>
      <c r="CV956" s="61"/>
      <c r="CW956" s="61"/>
      <c r="CX956" s="61"/>
      <c r="CY956" s="61"/>
      <c r="CZ956" s="61"/>
      <c r="DA956" s="61"/>
      <c r="DB956" s="61"/>
      <c r="DC956" s="61"/>
      <c r="DD956" s="61"/>
      <c r="DE956" s="61"/>
      <c r="DF956" s="61"/>
      <c r="DG956" s="61"/>
      <c r="DH956" s="61"/>
      <c r="DI956" s="61"/>
      <c r="DJ956" s="61"/>
      <c r="DK956" s="61"/>
    </row>
    <row r="957" spans="1:115" ht="21" customHeight="1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108"/>
      <c r="N957" s="108"/>
      <c r="O957" s="108"/>
      <c r="P957" s="108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/>
      <c r="CG957" s="61"/>
      <c r="CH957" s="61"/>
      <c r="CI957" s="61"/>
      <c r="CJ957" s="61"/>
      <c r="CK957" s="61"/>
      <c r="CL957" s="61"/>
      <c r="CM957" s="61"/>
      <c r="CN957" s="61"/>
      <c r="CO957" s="61"/>
      <c r="CP957" s="61"/>
      <c r="CQ957" s="61"/>
      <c r="CR957" s="61"/>
      <c r="CS957" s="61"/>
      <c r="CT957" s="61"/>
      <c r="CU957" s="61"/>
      <c r="CV957" s="61"/>
      <c r="CW957" s="61"/>
      <c r="CX957" s="61"/>
      <c r="CY957" s="61"/>
      <c r="CZ957" s="61"/>
      <c r="DA957" s="61"/>
      <c r="DB957" s="61"/>
      <c r="DC957" s="61"/>
      <c r="DD957" s="61"/>
      <c r="DE957" s="61"/>
      <c r="DF957" s="61"/>
      <c r="DG957" s="61"/>
      <c r="DH957" s="61"/>
      <c r="DI957" s="61"/>
      <c r="DJ957" s="61"/>
      <c r="DK957" s="61"/>
    </row>
    <row r="958" spans="1:115" ht="21" customHeight="1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108"/>
      <c r="N958" s="108"/>
      <c r="O958" s="108"/>
      <c r="P958" s="108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  <c r="CN958" s="61"/>
      <c r="CO958" s="61"/>
      <c r="CP958" s="61"/>
      <c r="CQ958" s="61"/>
      <c r="CR958" s="61"/>
      <c r="CS958" s="61"/>
      <c r="CT958" s="61"/>
      <c r="CU958" s="61"/>
      <c r="CV958" s="61"/>
      <c r="CW958" s="61"/>
      <c r="CX958" s="61"/>
      <c r="CY958" s="61"/>
      <c r="CZ958" s="61"/>
      <c r="DA958" s="61"/>
      <c r="DB958" s="61"/>
      <c r="DC958" s="61"/>
      <c r="DD958" s="61"/>
      <c r="DE958" s="61"/>
      <c r="DF958" s="61"/>
      <c r="DG958" s="61"/>
      <c r="DH958" s="61"/>
      <c r="DI958" s="61"/>
      <c r="DJ958" s="61"/>
      <c r="DK958" s="61"/>
    </row>
    <row r="959" spans="1:115" ht="21" customHeight="1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108"/>
      <c r="N959" s="108"/>
      <c r="O959" s="108"/>
      <c r="P959" s="108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/>
      <c r="CM959" s="61"/>
      <c r="CN959" s="61"/>
      <c r="CO959" s="61"/>
      <c r="CP959" s="61"/>
      <c r="CQ959" s="61"/>
      <c r="CR959" s="61"/>
      <c r="CS959" s="61"/>
      <c r="CT959" s="61"/>
      <c r="CU959" s="61"/>
      <c r="CV959" s="61"/>
      <c r="CW959" s="61"/>
      <c r="CX959" s="61"/>
      <c r="CY959" s="61"/>
      <c r="CZ959" s="61"/>
      <c r="DA959" s="61"/>
      <c r="DB959" s="61"/>
      <c r="DC959" s="61"/>
      <c r="DD959" s="61"/>
      <c r="DE959" s="61"/>
      <c r="DF959" s="61"/>
      <c r="DG959" s="61"/>
      <c r="DH959" s="61"/>
      <c r="DI959" s="61"/>
      <c r="DJ959" s="61"/>
      <c r="DK959" s="61"/>
    </row>
    <row r="960" spans="1:115" ht="21" customHeight="1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108"/>
      <c r="N960" s="108"/>
      <c r="O960" s="108"/>
      <c r="P960" s="108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  <c r="CN960" s="61"/>
      <c r="CO960" s="61"/>
      <c r="CP960" s="61"/>
      <c r="CQ960" s="61"/>
      <c r="CR960" s="61"/>
      <c r="CS960" s="61"/>
      <c r="CT960" s="61"/>
      <c r="CU960" s="61"/>
      <c r="CV960" s="61"/>
      <c r="CW960" s="61"/>
      <c r="CX960" s="61"/>
      <c r="CY960" s="61"/>
      <c r="CZ960" s="61"/>
      <c r="DA960" s="61"/>
      <c r="DB960" s="61"/>
      <c r="DC960" s="61"/>
      <c r="DD960" s="61"/>
      <c r="DE960" s="61"/>
      <c r="DF960" s="61"/>
      <c r="DG960" s="61"/>
      <c r="DH960" s="61"/>
      <c r="DI960" s="61"/>
      <c r="DJ960" s="61"/>
      <c r="DK960" s="61"/>
    </row>
    <row r="961" spans="1:115" ht="21" customHeight="1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108"/>
      <c r="N961" s="108"/>
      <c r="O961" s="108"/>
      <c r="P961" s="108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  <c r="CN961" s="61"/>
      <c r="CO961" s="61"/>
      <c r="CP961" s="61"/>
      <c r="CQ961" s="61"/>
      <c r="CR961" s="61"/>
      <c r="CS961" s="61"/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61"/>
      <c r="DH961" s="61"/>
      <c r="DI961" s="61"/>
      <c r="DJ961" s="61"/>
      <c r="DK961" s="61"/>
    </row>
    <row r="962" spans="1:115" ht="21" customHeight="1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108"/>
      <c r="N962" s="108"/>
      <c r="O962" s="108"/>
      <c r="P962" s="108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/>
      <c r="CG962" s="61"/>
      <c r="CH962" s="61"/>
      <c r="CI962" s="61"/>
      <c r="CJ962" s="61"/>
      <c r="CK962" s="61"/>
      <c r="CL962" s="61"/>
      <c r="CM962" s="61"/>
      <c r="CN962" s="61"/>
      <c r="CO962" s="61"/>
      <c r="CP962" s="61"/>
      <c r="CQ962" s="61"/>
      <c r="CR962" s="61"/>
      <c r="CS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/>
      <c r="DE962" s="61"/>
      <c r="DF962" s="61"/>
      <c r="DG962" s="61"/>
      <c r="DH962" s="61"/>
      <c r="DI962" s="61"/>
      <c r="DJ962" s="61"/>
      <c r="DK962" s="61"/>
    </row>
    <row r="963" spans="1:115" ht="21" customHeight="1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108"/>
      <c r="N963" s="108"/>
      <c r="O963" s="108"/>
      <c r="P963" s="108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  <c r="CN963" s="61"/>
      <c r="CO963" s="61"/>
      <c r="CP963" s="61"/>
      <c r="CQ963" s="61"/>
      <c r="CR963" s="61"/>
      <c r="CS963" s="61"/>
      <c r="CT963" s="61"/>
      <c r="CU963" s="61"/>
      <c r="CV963" s="61"/>
      <c r="CW963" s="61"/>
      <c r="CX963" s="61"/>
      <c r="CY963" s="61"/>
      <c r="CZ963" s="61"/>
      <c r="DA963" s="61"/>
      <c r="DB963" s="61"/>
      <c r="DC963" s="61"/>
      <c r="DD963" s="61"/>
      <c r="DE963" s="61"/>
      <c r="DF963" s="61"/>
      <c r="DG963" s="61"/>
      <c r="DH963" s="61"/>
      <c r="DI963" s="61"/>
      <c r="DJ963" s="61"/>
      <c r="DK963" s="61"/>
    </row>
    <row r="964" spans="1:115" ht="21" customHeight="1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108"/>
      <c r="N964" s="108"/>
      <c r="O964" s="108"/>
      <c r="P964" s="108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  <c r="CN964" s="61"/>
      <c r="CO964" s="61"/>
      <c r="CP964" s="61"/>
      <c r="CQ964" s="61"/>
      <c r="CR964" s="61"/>
      <c r="CS964" s="61"/>
      <c r="CT964" s="61"/>
      <c r="CU964" s="61"/>
      <c r="CV964" s="61"/>
      <c r="CW964" s="61"/>
      <c r="CX964" s="61"/>
      <c r="CY964" s="61"/>
      <c r="CZ964" s="61"/>
      <c r="DA964" s="61"/>
      <c r="DB964" s="61"/>
      <c r="DC964" s="61"/>
      <c r="DD964" s="61"/>
      <c r="DE964" s="61"/>
      <c r="DF964" s="61"/>
      <c r="DG964" s="61"/>
      <c r="DH964" s="61"/>
      <c r="DI964" s="61"/>
      <c r="DJ964" s="61"/>
      <c r="DK964" s="61"/>
    </row>
    <row r="965" spans="1:115" ht="21" customHeight="1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108"/>
      <c r="N965" s="108"/>
      <c r="O965" s="108"/>
      <c r="P965" s="108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  <c r="CD965" s="61"/>
      <c r="CE965" s="61"/>
      <c r="CF965" s="61"/>
      <c r="CG965" s="61"/>
      <c r="CH965" s="61"/>
      <c r="CI965" s="61"/>
      <c r="CJ965" s="61"/>
      <c r="CK965" s="61"/>
      <c r="CL965" s="61"/>
      <c r="CM965" s="61"/>
      <c r="CN965" s="61"/>
      <c r="CO965" s="61"/>
      <c r="CP965" s="61"/>
      <c r="CQ965" s="61"/>
      <c r="CR965" s="61"/>
      <c r="CS965" s="61"/>
      <c r="CT965" s="61"/>
      <c r="CU965" s="61"/>
      <c r="CV965" s="61"/>
      <c r="CW965" s="61"/>
      <c r="CX965" s="61"/>
      <c r="CY965" s="61"/>
      <c r="CZ965" s="61"/>
      <c r="DA965" s="61"/>
      <c r="DB965" s="61"/>
      <c r="DC965" s="61"/>
      <c r="DD965" s="61"/>
      <c r="DE965" s="61"/>
      <c r="DF965" s="61"/>
      <c r="DG965" s="61"/>
      <c r="DH965" s="61"/>
      <c r="DI965" s="61"/>
      <c r="DJ965" s="61"/>
      <c r="DK965" s="61"/>
    </row>
    <row r="966" spans="1:115" ht="21" customHeight="1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108"/>
      <c r="N966" s="108"/>
      <c r="O966" s="108"/>
      <c r="P966" s="108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  <c r="CN966" s="61"/>
      <c r="CO966" s="61"/>
      <c r="CP966" s="61"/>
      <c r="CQ966" s="61"/>
      <c r="CR966" s="61"/>
      <c r="CS966" s="61"/>
      <c r="CT966" s="61"/>
      <c r="CU966" s="61"/>
      <c r="CV966" s="61"/>
      <c r="CW966" s="61"/>
      <c r="CX966" s="61"/>
      <c r="CY966" s="61"/>
      <c r="CZ966" s="61"/>
      <c r="DA966" s="61"/>
      <c r="DB966" s="61"/>
      <c r="DC966" s="61"/>
      <c r="DD966" s="61"/>
      <c r="DE966" s="61"/>
      <c r="DF966" s="61"/>
      <c r="DG966" s="61"/>
      <c r="DH966" s="61"/>
      <c r="DI966" s="61"/>
      <c r="DJ966" s="61"/>
      <c r="DK966" s="61"/>
    </row>
    <row r="967" spans="1:115" ht="21" customHeight="1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108"/>
      <c r="N967" s="108"/>
      <c r="O967" s="108"/>
      <c r="P967" s="108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/>
      <c r="CG967" s="61"/>
      <c r="CH967" s="61"/>
      <c r="CI967" s="61"/>
      <c r="CJ967" s="61"/>
      <c r="CK967" s="61"/>
      <c r="CL967" s="61"/>
      <c r="CM967" s="61"/>
      <c r="CN967" s="61"/>
      <c r="CO967" s="61"/>
      <c r="CP967" s="61"/>
      <c r="CQ967" s="61"/>
      <c r="CR967" s="61"/>
      <c r="CS967" s="61"/>
      <c r="CT967" s="61"/>
      <c r="CU967" s="61"/>
      <c r="CV967" s="61"/>
      <c r="CW967" s="61"/>
      <c r="CX967" s="61"/>
      <c r="CY967" s="61"/>
      <c r="CZ967" s="61"/>
      <c r="DA967" s="61"/>
      <c r="DB967" s="61"/>
      <c r="DC967" s="61"/>
      <c r="DD967" s="61"/>
      <c r="DE967" s="61"/>
      <c r="DF967" s="61"/>
      <c r="DG967" s="61"/>
      <c r="DH967" s="61"/>
      <c r="DI967" s="61"/>
      <c r="DJ967" s="61"/>
      <c r="DK967" s="61"/>
    </row>
    <row r="968" spans="1:115" ht="21" customHeight="1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108"/>
      <c r="N968" s="108"/>
      <c r="O968" s="108"/>
      <c r="P968" s="108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  <c r="CN968" s="61"/>
      <c r="CO968" s="61"/>
      <c r="CP968" s="61"/>
      <c r="CQ968" s="61"/>
      <c r="CR968" s="61"/>
      <c r="CS968" s="61"/>
      <c r="CT968" s="61"/>
      <c r="CU968" s="61"/>
      <c r="CV968" s="61"/>
      <c r="CW968" s="61"/>
      <c r="CX968" s="61"/>
      <c r="CY968" s="61"/>
      <c r="CZ968" s="61"/>
      <c r="DA968" s="61"/>
      <c r="DB968" s="61"/>
      <c r="DC968" s="61"/>
      <c r="DD968" s="61"/>
      <c r="DE968" s="61"/>
      <c r="DF968" s="61"/>
      <c r="DG968" s="61"/>
      <c r="DH968" s="61"/>
      <c r="DI968" s="61"/>
      <c r="DJ968" s="61"/>
      <c r="DK968" s="61"/>
    </row>
    <row r="969" spans="1:115" ht="21" customHeight="1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108"/>
      <c r="N969" s="108"/>
      <c r="O969" s="108"/>
      <c r="P969" s="108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  <c r="CN969" s="61"/>
      <c r="CO969" s="61"/>
      <c r="CP969" s="61"/>
      <c r="CQ969" s="61"/>
      <c r="CR969" s="61"/>
      <c r="CS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61"/>
      <c r="DH969" s="61"/>
      <c r="DI969" s="61"/>
      <c r="DJ969" s="61"/>
      <c r="DK969" s="61"/>
    </row>
    <row r="970" spans="1:115" ht="21" customHeight="1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108"/>
      <c r="N970" s="108"/>
      <c r="O970" s="108"/>
      <c r="P970" s="108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/>
      <c r="CE970" s="61"/>
      <c r="CF970" s="61"/>
      <c r="CG970" s="61"/>
      <c r="CH970" s="61"/>
      <c r="CI970" s="61"/>
      <c r="CJ970" s="61"/>
      <c r="CK970" s="61"/>
      <c r="CL970" s="61"/>
      <c r="CM970" s="61"/>
      <c r="CN970" s="61"/>
      <c r="CO970" s="61"/>
      <c r="CP970" s="61"/>
      <c r="CQ970" s="61"/>
      <c r="CR970" s="61"/>
      <c r="CS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61"/>
      <c r="DH970" s="61"/>
      <c r="DI970" s="61"/>
      <c r="DJ970" s="61"/>
      <c r="DK970" s="61"/>
    </row>
    <row r="971" spans="1:115" ht="21" customHeight="1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108"/>
      <c r="N971" s="108"/>
      <c r="O971" s="108"/>
      <c r="P971" s="108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/>
      <c r="CI971" s="61"/>
      <c r="CJ971" s="61"/>
      <c r="CK971" s="61"/>
      <c r="CL971" s="61"/>
      <c r="CM971" s="61"/>
      <c r="CN971" s="61"/>
      <c r="CO971" s="61"/>
      <c r="CP971" s="61"/>
      <c r="CQ971" s="61"/>
      <c r="CR971" s="61"/>
      <c r="CS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61"/>
      <c r="DH971" s="61"/>
      <c r="DI971" s="61"/>
      <c r="DJ971" s="61"/>
      <c r="DK971" s="61"/>
    </row>
    <row r="972" spans="1:115" ht="21" customHeight="1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108"/>
      <c r="N972" s="108"/>
      <c r="O972" s="108"/>
      <c r="P972" s="108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  <c r="CN972" s="61"/>
      <c r="CO972" s="61"/>
      <c r="CP972" s="61"/>
      <c r="CQ972" s="61"/>
      <c r="CR972" s="61"/>
      <c r="CS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/>
      <c r="DJ972" s="61"/>
      <c r="DK972" s="61"/>
    </row>
    <row r="973" spans="1:115" ht="21" customHeight="1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108"/>
      <c r="N973" s="108"/>
      <c r="O973" s="108"/>
      <c r="P973" s="108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  <c r="CN973" s="61"/>
      <c r="CO973" s="61"/>
      <c r="CP973" s="61"/>
      <c r="CQ973" s="61"/>
      <c r="CR973" s="61"/>
      <c r="CS973" s="61"/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/>
      <c r="DJ973" s="61"/>
      <c r="DK973" s="61"/>
    </row>
    <row r="974" spans="1:115" ht="21" customHeight="1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108"/>
      <c r="N974" s="108"/>
      <c r="O974" s="108"/>
      <c r="P974" s="108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/>
      <c r="CE974" s="61"/>
      <c r="CF974" s="61"/>
      <c r="CG974" s="61"/>
      <c r="CH974" s="61"/>
      <c r="CI974" s="61"/>
      <c r="CJ974" s="61"/>
      <c r="CK974" s="61"/>
      <c r="CL974" s="61"/>
      <c r="CM974" s="61"/>
      <c r="CN974" s="61"/>
      <c r="CO974" s="61"/>
      <c r="CP974" s="61"/>
      <c r="CQ974" s="61"/>
      <c r="CR974" s="61"/>
      <c r="CS974" s="61"/>
      <c r="CT974" s="61"/>
      <c r="CU974" s="61"/>
      <c r="CV974" s="61"/>
      <c r="CW974" s="61"/>
      <c r="CX974" s="61"/>
      <c r="CY974" s="61"/>
      <c r="CZ974" s="61"/>
      <c r="DA974" s="61"/>
      <c r="DB974" s="61"/>
      <c r="DC974" s="61"/>
      <c r="DD974" s="61"/>
      <c r="DE974" s="61"/>
      <c r="DF974" s="61"/>
      <c r="DG974" s="61"/>
      <c r="DH974" s="61"/>
      <c r="DI974" s="61"/>
      <c r="DJ974" s="61"/>
      <c r="DK974" s="61"/>
    </row>
    <row r="975" spans="1:115" ht="21" customHeight="1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108"/>
      <c r="N975" s="108"/>
      <c r="O975" s="108"/>
      <c r="P975" s="108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/>
      <c r="CM975" s="61"/>
      <c r="CN975" s="61"/>
      <c r="CO975" s="61"/>
      <c r="CP975" s="61"/>
      <c r="CQ975" s="61"/>
      <c r="CR975" s="61"/>
      <c r="CS975" s="61"/>
      <c r="CT975" s="61"/>
      <c r="CU975" s="61"/>
      <c r="CV975" s="61"/>
      <c r="CW975" s="61"/>
      <c r="CX975" s="61"/>
      <c r="CY975" s="61"/>
      <c r="CZ975" s="61"/>
      <c r="DA975" s="61"/>
      <c r="DB975" s="61"/>
      <c r="DC975" s="61"/>
      <c r="DD975" s="61"/>
      <c r="DE975" s="61"/>
      <c r="DF975" s="61"/>
      <c r="DG975" s="61"/>
      <c r="DH975" s="61"/>
      <c r="DI975" s="61"/>
      <c r="DJ975" s="61"/>
      <c r="DK975" s="61"/>
    </row>
    <row r="976" spans="1:115" ht="21" customHeight="1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108"/>
      <c r="N976" s="108"/>
      <c r="O976" s="108"/>
      <c r="P976" s="108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/>
      <c r="CK976" s="61"/>
      <c r="CL976" s="61"/>
      <c r="CM976" s="61"/>
      <c r="CN976" s="61"/>
      <c r="CO976" s="61"/>
      <c r="CP976" s="61"/>
      <c r="CQ976" s="61"/>
      <c r="CR976" s="61"/>
      <c r="CS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61"/>
      <c r="DH976" s="61"/>
      <c r="DI976" s="61"/>
      <c r="DJ976" s="61"/>
      <c r="DK976" s="61"/>
    </row>
    <row r="977" spans="1:115" ht="21" customHeight="1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108"/>
      <c r="N977" s="108"/>
      <c r="O977" s="108"/>
      <c r="P977" s="108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  <c r="CN977" s="61"/>
      <c r="CO977" s="61"/>
      <c r="CP977" s="61"/>
      <c r="CQ977" s="61"/>
      <c r="CR977" s="61"/>
      <c r="CS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/>
      <c r="DI977" s="61"/>
      <c r="DJ977" s="61"/>
      <c r="DK977" s="61"/>
    </row>
    <row r="978" spans="1:115" ht="21" customHeight="1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108"/>
      <c r="N978" s="108"/>
      <c r="O978" s="108"/>
      <c r="P978" s="108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/>
      <c r="CI978" s="61"/>
      <c r="CJ978" s="61"/>
      <c r="CK978" s="61"/>
      <c r="CL978" s="61"/>
      <c r="CM978" s="61"/>
      <c r="CN978" s="61"/>
      <c r="CO978" s="61"/>
      <c r="CP978" s="61"/>
      <c r="CQ978" s="61"/>
      <c r="CR978" s="61"/>
      <c r="CS978" s="61"/>
      <c r="CT978" s="61"/>
      <c r="CU978" s="61"/>
      <c r="CV978" s="61"/>
      <c r="CW978" s="61"/>
      <c r="CX978" s="61"/>
      <c r="CY978" s="61"/>
      <c r="CZ978" s="61"/>
      <c r="DA978" s="61"/>
      <c r="DB978" s="61"/>
      <c r="DC978" s="61"/>
      <c r="DD978" s="61"/>
      <c r="DE978" s="61"/>
      <c r="DF978" s="61"/>
      <c r="DG978" s="61"/>
      <c r="DH978" s="61"/>
      <c r="DI978" s="61"/>
      <c r="DJ978" s="61"/>
      <c r="DK978" s="61"/>
    </row>
    <row r="979" spans="1:115" ht="21" customHeight="1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108"/>
      <c r="N979" s="108"/>
      <c r="O979" s="108"/>
      <c r="P979" s="108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/>
      <c r="CI979" s="61"/>
      <c r="CJ979" s="61"/>
      <c r="CK979" s="61"/>
      <c r="CL979" s="61"/>
      <c r="CM979" s="61"/>
      <c r="CN979" s="61"/>
      <c r="CO979" s="61"/>
      <c r="CP979" s="61"/>
      <c r="CQ979" s="61"/>
      <c r="CR979" s="61"/>
      <c r="CS979" s="61"/>
      <c r="CT979" s="61"/>
      <c r="CU979" s="61"/>
      <c r="CV979" s="61"/>
      <c r="CW979" s="61"/>
      <c r="CX979" s="61"/>
      <c r="CY979" s="61"/>
      <c r="CZ979" s="61"/>
      <c r="DA979" s="61"/>
      <c r="DB979" s="61"/>
      <c r="DC979" s="61"/>
      <c r="DD979" s="61"/>
      <c r="DE979" s="61"/>
      <c r="DF979" s="61"/>
      <c r="DG979" s="61"/>
      <c r="DH979" s="61"/>
      <c r="DI979" s="61"/>
      <c r="DJ979" s="61"/>
      <c r="DK979" s="61"/>
    </row>
    <row r="980" spans="1:115" ht="21" customHeight="1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108"/>
      <c r="N980" s="108"/>
      <c r="O980" s="108"/>
      <c r="P980" s="108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/>
      <c r="CI980" s="61"/>
      <c r="CJ980" s="61"/>
      <c r="CK980" s="61"/>
      <c r="CL980" s="61"/>
      <c r="CM980" s="61"/>
      <c r="CN980" s="61"/>
      <c r="CO980" s="61"/>
      <c r="CP980" s="61"/>
      <c r="CQ980" s="61"/>
      <c r="CR980" s="61"/>
      <c r="CS980" s="61"/>
      <c r="CT980" s="61"/>
      <c r="CU980" s="61"/>
      <c r="CV980" s="61"/>
      <c r="CW980" s="61"/>
      <c r="CX980" s="61"/>
      <c r="CY980" s="61"/>
      <c r="CZ980" s="61"/>
      <c r="DA980" s="61"/>
      <c r="DB980" s="61"/>
      <c r="DC980" s="61"/>
      <c r="DD980" s="61"/>
      <c r="DE980" s="61"/>
      <c r="DF980" s="61"/>
      <c r="DG980" s="61"/>
      <c r="DH980" s="61"/>
      <c r="DI980" s="61"/>
      <c r="DJ980" s="61"/>
      <c r="DK980" s="61"/>
    </row>
    <row r="981" spans="1:115" ht="21" customHeight="1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108"/>
      <c r="N981" s="108"/>
      <c r="O981" s="108"/>
      <c r="P981" s="108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/>
      <c r="CL981" s="61"/>
      <c r="CM981" s="61"/>
      <c r="CN981" s="61"/>
      <c r="CO981" s="61"/>
      <c r="CP981" s="61"/>
      <c r="CQ981" s="61"/>
      <c r="CR981" s="61"/>
      <c r="CS981" s="61"/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/>
      <c r="DJ981" s="61"/>
      <c r="DK981" s="61"/>
    </row>
    <row r="982" spans="1:115" ht="21" customHeight="1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108"/>
      <c r="N982" s="108"/>
      <c r="O982" s="108"/>
      <c r="P982" s="108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/>
      <c r="CL982" s="61"/>
      <c r="CM982" s="61"/>
      <c r="CN982" s="61"/>
      <c r="CO982" s="61"/>
      <c r="CP982" s="61"/>
      <c r="CQ982" s="61"/>
      <c r="CR982" s="61"/>
      <c r="CS982" s="61"/>
      <c r="CT982" s="61"/>
      <c r="CU982" s="61"/>
      <c r="CV982" s="61"/>
      <c r="CW982" s="61"/>
      <c r="CX982" s="61"/>
      <c r="CY982" s="61"/>
      <c r="CZ982" s="61"/>
      <c r="DA982" s="61"/>
      <c r="DB982" s="61"/>
      <c r="DC982" s="61"/>
      <c r="DD982" s="61"/>
      <c r="DE982" s="61"/>
      <c r="DF982" s="61"/>
      <c r="DG982" s="61"/>
      <c r="DH982" s="61"/>
      <c r="DI982" s="61"/>
      <c r="DJ982" s="61"/>
      <c r="DK982" s="61"/>
    </row>
    <row r="983" spans="1:115" ht="21" customHeight="1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108"/>
      <c r="N983" s="108"/>
      <c r="O983" s="108"/>
      <c r="P983" s="108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  <c r="CN983" s="61"/>
      <c r="CO983" s="61"/>
      <c r="CP983" s="61"/>
      <c r="CQ983" s="61"/>
      <c r="CR983" s="61"/>
      <c r="CS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1"/>
      <c r="DJ983" s="61"/>
      <c r="DK983" s="61"/>
    </row>
    <row r="984" spans="1:115" ht="21" customHeight="1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108"/>
      <c r="N984" s="108"/>
      <c r="O984" s="108"/>
      <c r="P984" s="108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/>
      <c r="CL984" s="61"/>
      <c r="CM984" s="61"/>
      <c r="CN984" s="61"/>
      <c r="CO984" s="61"/>
      <c r="CP984" s="61"/>
      <c r="CQ984" s="61"/>
      <c r="CR984" s="61"/>
      <c r="CS984" s="61"/>
      <c r="CT984" s="61"/>
      <c r="CU984" s="61"/>
      <c r="CV984" s="61"/>
      <c r="CW984" s="61"/>
      <c r="CX984" s="61"/>
      <c r="CY984" s="61"/>
      <c r="CZ984" s="61"/>
      <c r="DA984" s="61"/>
      <c r="DB984" s="61"/>
      <c r="DC984" s="61"/>
      <c r="DD984" s="61"/>
      <c r="DE984" s="61"/>
      <c r="DF984" s="61"/>
      <c r="DG984" s="61"/>
      <c r="DH984" s="61"/>
      <c r="DI984" s="61"/>
      <c r="DJ984" s="61"/>
      <c r="DK984" s="61"/>
    </row>
    <row r="985" spans="1:115" ht="21" customHeight="1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108"/>
      <c r="N985" s="108"/>
      <c r="O985" s="108"/>
      <c r="P985" s="108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/>
      <c r="CM985" s="61"/>
      <c r="CN985" s="61"/>
      <c r="CO985" s="61"/>
      <c r="CP985" s="61"/>
      <c r="CQ985" s="61"/>
      <c r="CR985" s="61"/>
      <c r="CS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/>
      <c r="DG985" s="61"/>
      <c r="DH985" s="61"/>
      <c r="DI985" s="61"/>
      <c r="DJ985" s="61"/>
      <c r="DK985" s="61"/>
    </row>
    <row r="986" spans="1:115" ht="21" customHeight="1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108"/>
      <c r="N986" s="108"/>
      <c r="O986" s="108"/>
      <c r="P986" s="108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  <c r="CN986" s="61"/>
      <c r="CO986" s="61"/>
      <c r="CP986" s="61"/>
      <c r="CQ986" s="61"/>
      <c r="CR986" s="61"/>
      <c r="CS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/>
      <c r="DG986" s="61"/>
      <c r="DH986" s="61"/>
      <c r="DI986" s="61"/>
      <c r="DJ986" s="61"/>
      <c r="DK986" s="61"/>
    </row>
    <row r="987" spans="1:115" ht="21" customHeight="1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108"/>
      <c r="N987" s="108"/>
      <c r="O987" s="108"/>
      <c r="P987" s="108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/>
      <c r="CK987" s="61"/>
      <c r="CL987" s="61"/>
      <c r="CM987" s="61"/>
      <c r="CN987" s="61"/>
      <c r="CO987" s="61"/>
      <c r="CP987" s="61"/>
      <c r="CQ987" s="61"/>
      <c r="CR987" s="61"/>
      <c r="CS987" s="61"/>
      <c r="CT987" s="61"/>
      <c r="CU987" s="61"/>
      <c r="CV987" s="61"/>
      <c r="CW987" s="61"/>
      <c r="CX987" s="61"/>
      <c r="CY987" s="61"/>
      <c r="CZ987" s="61"/>
      <c r="DA987" s="61"/>
      <c r="DB987" s="61"/>
      <c r="DC987" s="61"/>
      <c r="DD987" s="61"/>
      <c r="DE987" s="61"/>
      <c r="DF987" s="61"/>
      <c r="DG987" s="61"/>
      <c r="DH987" s="61"/>
      <c r="DI987" s="61"/>
      <c r="DJ987" s="61"/>
      <c r="DK987" s="61"/>
    </row>
    <row r="988" spans="1:115" ht="21" customHeight="1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108"/>
      <c r="N988" s="108"/>
      <c r="O988" s="108"/>
      <c r="P988" s="108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  <c r="CD988" s="61"/>
      <c r="CE988" s="61"/>
      <c r="CF988" s="61"/>
      <c r="CG988" s="61"/>
      <c r="CH988" s="61"/>
      <c r="CI988" s="61"/>
      <c r="CJ988" s="61"/>
      <c r="CK988" s="61"/>
      <c r="CL988" s="61"/>
      <c r="CM988" s="61"/>
      <c r="CN988" s="61"/>
      <c r="CO988" s="61"/>
      <c r="CP988" s="61"/>
      <c r="CQ988" s="61"/>
      <c r="CR988" s="61"/>
      <c r="CS988" s="61"/>
      <c r="CT988" s="61"/>
      <c r="CU988" s="61"/>
      <c r="CV988" s="61"/>
      <c r="CW988" s="61"/>
      <c r="CX988" s="61"/>
      <c r="CY988" s="61"/>
      <c r="CZ988" s="61"/>
      <c r="DA988" s="61"/>
      <c r="DB988" s="61"/>
      <c r="DC988" s="61"/>
      <c r="DD988" s="61"/>
      <c r="DE988" s="61"/>
      <c r="DF988" s="61"/>
      <c r="DG988" s="61"/>
      <c r="DH988" s="61"/>
      <c r="DI988" s="61"/>
      <c r="DJ988" s="61"/>
      <c r="DK988" s="61"/>
    </row>
    <row r="989" spans="1:115" ht="21" customHeight="1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108"/>
      <c r="N989" s="108"/>
      <c r="O989" s="108"/>
      <c r="P989" s="108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  <c r="CN989" s="61"/>
      <c r="CO989" s="61"/>
      <c r="CP989" s="61"/>
      <c r="CQ989" s="61"/>
      <c r="CR989" s="61"/>
      <c r="CS989" s="61"/>
      <c r="CT989" s="61"/>
      <c r="CU989" s="61"/>
      <c r="CV989" s="61"/>
      <c r="CW989" s="61"/>
      <c r="CX989" s="61"/>
      <c r="CY989" s="61"/>
      <c r="CZ989" s="61"/>
      <c r="DA989" s="61"/>
      <c r="DB989" s="61"/>
      <c r="DC989" s="61"/>
      <c r="DD989" s="61"/>
      <c r="DE989" s="61"/>
      <c r="DF989" s="61"/>
      <c r="DG989" s="61"/>
      <c r="DH989" s="61"/>
      <c r="DI989" s="61"/>
      <c r="DJ989" s="61"/>
      <c r="DK989" s="61"/>
    </row>
    <row r="990" spans="1:115" ht="21" customHeight="1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108"/>
      <c r="N990" s="108"/>
      <c r="O990" s="108"/>
      <c r="P990" s="108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  <c r="CN990" s="61"/>
      <c r="CO990" s="61"/>
      <c r="CP990" s="61"/>
      <c r="CQ990" s="61"/>
      <c r="CR990" s="61"/>
      <c r="CS990" s="61"/>
      <c r="CT990" s="61"/>
      <c r="CU990" s="61"/>
      <c r="CV990" s="61"/>
      <c r="CW990" s="61"/>
      <c r="CX990" s="61"/>
      <c r="CY990" s="61"/>
      <c r="CZ990" s="61"/>
      <c r="DA990" s="61"/>
      <c r="DB990" s="61"/>
      <c r="DC990" s="61"/>
      <c r="DD990" s="61"/>
      <c r="DE990" s="61"/>
      <c r="DF990" s="61"/>
      <c r="DG990" s="61"/>
      <c r="DH990" s="61"/>
      <c r="DI990" s="61"/>
      <c r="DJ990" s="61"/>
      <c r="DK990" s="61"/>
    </row>
    <row r="991" spans="1:115" ht="21" customHeight="1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108"/>
      <c r="N991" s="108"/>
      <c r="O991" s="108"/>
      <c r="P991" s="108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  <c r="CN991" s="61"/>
      <c r="CO991" s="61"/>
      <c r="CP991" s="61"/>
      <c r="CQ991" s="61"/>
      <c r="CR991" s="61"/>
      <c r="CS991" s="61"/>
      <c r="CT991" s="61"/>
      <c r="CU991" s="61"/>
      <c r="CV991" s="61"/>
      <c r="CW991" s="61"/>
      <c r="CX991" s="61"/>
      <c r="CY991" s="61"/>
      <c r="CZ991" s="61"/>
      <c r="DA991" s="61"/>
      <c r="DB991" s="61"/>
      <c r="DC991" s="61"/>
      <c r="DD991" s="61"/>
      <c r="DE991" s="61"/>
      <c r="DF991" s="61"/>
      <c r="DG991" s="61"/>
      <c r="DH991" s="61"/>
      <c r="DI991" s="61"/>
      <c r="DJ991" s="61"/>
      <c r="DK991" s="61"/>
    </row>
    <row r="992" spans="1:115" ht="21" customHeight="1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108"/>
      <c r="N992" s="108"/>
      <c r="O992" s="108"/>
      <c r="P992" s="108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  <c r="CN992" s="61"/>
      <c r="CO992" s="61"/>
      <c r="CP992" s="61"/>
      <c r="CQ992" s="61"/>
      <c r="CR992" s="61"/>
      <c r="CS992" s="61"/>
      <c r="CT992" s="61"/>
      <c r="CU992" s="61"/>
      <c r="CV992" s="61"/>
      <c r="CW992" s="61"/>
      <c r="CX992" s="61"/>
      <c r="CY992" s="61"/>
      <c r="CZ992" s="61"/>
      <c r="DA992" s="61"/>
      <c r="DB992" s="61"/>
      <c r="DC992" s="61"/>
      <c r="DD992" s="61"/>
      <c r="DE992" s="61"/>
      <c r="DF992" s="61"/>
      <c r="DG992" s="61"/>
      <c r="DH992" s="61"/>
      <c r="DI992" s="61"/>
      <c r="DJ992" s="61"/>
      <c r="DK992" s="61"/>
    </row>
    <row r="993" spans="1:115" ht="21" customHeight="1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108"/>
      <c r="N993" s="108"/>
      <c r="O993" s="108"/>
      <c r="P993" s="108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  <c r="CN993" s="61"/>
      <c r="CO993" s="61"/>
      <c r="CP993" s="61"/>
      <c r="CQ993" s="61"/>
      <c r="CR993" s="61"/>
      <c r="CS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61"/>
      <c r="DH993" s="61"/>
      <c r="DI993" s="61"/>
      <c r="DJ993" s="61"/>
      <c r="DK993" s="61"/>
    </row>
    <row r="994" spans="1:115" ht="21" customHeight="1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108"/>
      <c r="N994" s="108"/>
      <c r="O994" s="108"/>
      <c r="P994" s="108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1"/>
      <c r="CQ994" s="61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1"/>
    </row>
    <row r="995" spans="1:115" ht="21" customHeight="1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108"/>
      <c r="N995" s="108"/>
      <c r="O995" s="108"/>
      <c r="P995" s="108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/>
      <c r="CL995" s="61"/>
      <c r="CM995" s="61"/>
      <c r="CN995" s="61"/>
      <c r="CO995" s="61"/>
      <c r="CP995" s="61"/>
      <c r="CQ995" s="61"/>
      <c r="CR995" s="61"/>
      <c r="CS995" s="61"/>
      <c r="CT995" s="61"/>
      <c r="CU995" s="61"/>
      <c r="CV995" s="61"/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61"/>
      <c r="DH995" s="61"/>
      <c r="DI995" s="61"/>
      <c r="DJ995" s="61"/>
      <c r="DK995" s="61"/>
    </row>
    <row r="996" spans="1:115" ht="21" customHeight="1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108"/>
      <c r="N996" s="108"/>
      <c r="O996" s="108"/>
      <c r="P996" s="108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/>
      <c r="CG996" s="61"/>
      <c r="CH996" s="61"/>
      <c r="CI996" s="61"/>
      <c r="CJ996" s="61"/>
      <c r="CK996" s="61"/>
      <c r="CL996" s="61"/>
      <c r="CM996" s="61"/>
      <c r="CN996" s="61"/>
      <c r="CO996" s="61"/>
      <c r="CP996" s="61"/>
      <c r="CQ996" s="61"/>
      <c r="CR996" s="61"/>
      <c r="CS996" s="61"/>
      <c r="CT996" s="61"/>
      <c r="CU996" s="61"/>
      <c r="CV996" s="61"/>
      <c r="CW996" s="61"/>
      <c r="CX996" s="61"/>
      <c r="CY996" s="61"/>
      <c r="CZ996" s="61"/>
      <c r="DA996" s="61"/>
      <c r="DB996" s="61"/>
      <c r="DC996" s="61"/>
      <c r="DD996" s="61"/>
      <c r="DE996" s="61"/>
      <c r="DF996" s="61"/>
      <c r="DG996" s="61"/>
      <c r="DH996" s="61"/>
      <c r="DI996" s="61"/>
      <c r="DJ996" s="61"/>
      <c r="DK996" s="61"/>
    </row>
    <row r="997" spans="1:115" ht="21" customHeight="1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108"/>
      <c r="N997" s="108"/>
      <c r="O997" s="108"/>
      <c r="P997" s="108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1"/>
      <c r="CO997" s="61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1"/>
      <c r="DJ997" s="61"/>
      <c r="DK997" s="61"/>
    </row>
    <row r="998" spans="1:115" ht="21" customHeight="1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108"/>
      <c r="N998" s="108"/>
      <c r="O998" s="108"/>
      <c r="P998" s="108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/>
      <c r="CE998" s="61"/>
      <c r="CF998" s="61"/>
      <c r="CG998" s="61"/>
      <c r="CH998" s="61"/>
      <c r="CI998" s="61"/>
      <c r="CJ998" s="61"/>
      <c r="CK998" s="61"/>
      <c r="CL998" s="61"/>
      <c r="CM998" s="61"/>
      <c r="CN998" s="61"/>
      <c r="CO998" s="61"/>
      <c r="CP998" s="61"/>
      <c r="CQ998" s="61"/>
      <c r="CR998" s="61"/>
      <c r="CS998" s="61"/>
      <c r="CT998" s="61"/>
      <c r="CU998" s="61"/>
      <c r="CV998" s="61"/>
      <c r="CW998" s="61"/>
      <c r="CX998" s="61"/>
      <c r="CY998" s="61"/>
      <c r="CZ998" s="61"/>
      <c r="DA998" s="61"/>
      <c r="DB998" s="61"/>
      <c r="DC998" s="61"/>
      <c r="DD998" s="61"/>
      <c r="DE998" s="61"/>
      <c r="DF998" s="61"/>
      <c r="DG998" s="61"/>
      <c r="DH998" s="61"/>
      <c r="DI998" s="61"/>
      <c r="DJ998" s="61"/>
      <c r="DK998" s="61"/>
    </row>
    <row r="999" spans="1:115" ht="21" customHeight="1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108"/>
      <c r="N999" s="108"/>
      <c r="O999" s="108"/>
      <c r="P999" s="108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1"/>
      <c r="CO999" s="61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1"/>
      <c r="DJ999" s="61"/>
      <c r="DK999" s="61"/>
    </row>
    <row r="1000" spans="1:115" ht="21" customHeight="1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108"/>
      <c r="N1000" s="108"/>
      <c r="O1000" s="108"/>
      <c r="P1000" s="108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  <c r="CD1000" s="61"/>
      <c r="CE1000" s="61"/>
      <c r="CF1000" s="61"/>
      <c r="CG1000" s="61"/>
      <c r="CH1000" s="61"/>
      <c r="CI1000" s="61"/>
      <c r="CJ1000" s="61"/>
      <c r="CK1000" s="61"/>
      <c r="CL1000" s="61"/>
      <c r="CM1000" s="61"/>
      <c r="CN1000" s="61"/>
      <c r="CO1000" s="61"/>
      <c r="CP1000" s="61"/>
      <c r="CQ1000" s="61"/>
      <c r="CR1000" s="61"/>
      <c r="CS1000" s="61"/>
      <c r="CT1000" s="61"/>
      <c r="CU1000" s="61"/>
      <c r="CV1000" s="61"/>
      <c r="CW1000" s="61"/>
      <c r="CX1000" s="61"/>
      <c r="CY1000" s="61"/>
      <c r="CZ1000" s="61"/>
      <c r="DA1000" s="61"/>
      <c r="DB1000" s="61"/>
      <c r="DC1000" s="61"/>
      <c r="DD1000" s="61"/>
      <c r="DE1000" s="61"/>
      <c r="DF1000" s="61"/>
      <c r="DG1000" s="61"/>
      <c r="DH1000" s="61"/>
      <c r="DI1000" s="61"/>
      <c r="DJ1000" s="61"/>
      <c r="DK1000" s="61"/>
    </row>
    <row r="1001" spans="1:115" ht="21" customHeight="1" x14ac:dyDescent="0.25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108"/>
      <c r="N1001" s="108"/>
      <c r="O1001" s="108"/>
      <c r="P1001" s="108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  <c r="BV1001" s="61"/>
      <c r="BW1001" s="61"/>
      <c r="BX1001" s="61"/>
      <c r="BY1001" s="61"/>
      <c r="BZ1001" s="61"/>
      <c r="CA1001" s="61"/>
      <c r="CB1001" s="61"/>
      <c r="CC1001" s="61"/>
      <c r="CD1001" s="61"/>
      <c r="CE1001" s="61"/>
      <c r="CF1001" s="61"/>
      <c r="CG1001" s="61"/>
      <c r="CH1001" s="61"/>
      <c r="CI1001" s="61"/>
      <c r="CJ1001" s="61"/>
      <c r="CK1001" s="61"/>
      <c r="CL1001" s="61"/>
      <c r="CM1001" s="61"/>
      <c r="CN1001" s="61"/>
      <c r="CO1001" s="61"/>
      <c r="CP1001" s="61"/>
      <c r="CQ1001" s="61"/>
      <c r="CR1001" s="61"/>
      <c r="CS1001" s="61"/>
      <c r="CT1001" s="61"/>
      <c r="CU1001" s="61"/>
      <c r="CV1001" s="61"/>
      <c r="CW1001" s="61"/>
      <c r="CX1001" s="61"/>
      <c r="CY1001" s="61"/>
      <c r="CZ1001" s="61"/>
      <c r="DA1001" s="61"/>
      <c r="DB1001" s="61"/>
      <c r="DC1001" s="61"/>
      <c r="DD1001" s="61"/>
      <c r="DE1001" s="61"/>
      <c r="DF1001" s="61"/>
      <c r="DG1001" s="61"/>
      <c r="DH1001" s="61"/>
      <c r="DI1001" s="61"/>
      <c r="DJ1001" s="61"/>
      <c r="DK1001" s="61"/>
    </row>
    <row r="1002" spans="1:115" ht="21" customHeight="1" x14ac:dyDescent="0.25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108"/>
      <c r="N1002" s="108"/>
      <c r="O1002" s="108"/>
      <c r="P1002" s="108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  <c r="BV1002" s="61"/>
      <c r="BW1002" s="61"/>
      <c r="BX1002" s="61"/>
      <c r="BY1002" s="61"/>
      <c r="BZ1002" s="61"/>
      <c r="CA1002" s="61"/>
      <c r="CB1002" s="61"/>
      <c r="CC1002" s="61"/>
      <c r="CD1002" s="61"/>
      <c r="CE1002" s="61"/>
      <c r="CF1002" s="61"/>
      <c r="CG1002" s="61"/>
      <c r="CH1002" s="61"/>
      <c r="CI1002" s="61"/>
      <c r="CJ1002" s="61"/>
      <c r="CK1002" s="61"/>
      <c r="CL1002" s="61"/>
      <c r="CM1002" s="61"/>
      <c r="CN1002" s="61"/>
      <c r="CO1002" s="61"/>
      <c r="CP1002" s="61"/>
      <c r="CQ1002" s="61"/>
      <c r="CR1002" s="61"/>
      <c r="CS1002" s="61"/>
      <c r="CT1002" s="61"/>
      <c r="CU1002" s="61"/>
      <c r="CV1002" s="61"/>
      <c r="CW1002" s="61"/>
      <c r="CX1002" s="61"/>
      <c r="CY1002" s="61"/>
      <c r="CZ1002" s="61"/>
      <c r="DA1002" s="61"/>
      <c r="DB1002" s="61"/>
      <c r="DC1002" s="61"/>
      <c r="DD1002" s="61"/>
      <c r="DE1002" s="61"/>
      <c r="DF1002" s="61"/>
      <c r="DG1002" s="61"/>
      <c r="DH1002" s="61"/>
      <c r="DI1002" s="61"/>
      <c r="DJ1002" s="61"/>
      <c r="DK1002" s="61"/>
    </row>
    <row r="1003" spans="1:115" ht="21" customHeight="1" x14ac:dyDescent="0.25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108"/>
      <c r="N1003" s="108"/>
      <c r="O1003" s="108"/>
      <c r="P1003" s="108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  <c r="BV1003" s="61"/>
      <c r="BW1003" s="61"/>
      <c r="BX1003" s="61"/>
      <c r="BY1003" s="61"/>
      <c r="BZ1003" s="61"/>
      <c r="CA1003" s="61"/>
      <c r="CB1003" s="61"/>
      <c r="CC1003" s="61"/>
      <c r="CD1003" s="61"/>
      <c r="CE1003" s="61"/>
      <c r="CF1003" s="61"/>
      <c r="CG1003" s="61"/>
      <c r="CH1003" s="61"/>
      <c r="CI1003" s="61"/>
      <c r="CJ1003" s="61"/>
      <c r="CK1003" s="61"/>
      <c r="CL1003" s="61"/>
      <c r="CM1003" s="61"/>
      <c r="CN1003" s="61"/>
      <c r="CO1003" s="61"/>
      <c r="CP1003" s="61"/>
      <c r="CQ1003" s="61"/>
      <c r="CR1003" s="61"/>
      <c r="CS1003" s="61"/>
      <c r="CT1003" s="61"/>
      <c r="CU1003" s="61"/>
      <c r="CV1003" s="61"/>
      <c r="CW1003" s="61"/>
      <c r="CX1003" s="61"/>
      <c r="CY1003" s="61"/>
      <c r="CZ1003" s="61"/>
      <c r="DA1003" s="61"/>
      <c r="DB1003" s="61"/>
      <c r="DC1003" s="61"/>
      <c r="DD1003" s="61"/>
      <c r="DE1003" s="61"/>
      <c r="DF1003" s="61"/>
      <c r="DG1003" s="61"/>
      <c r="DH1003" s="61"/>
      <c r="DI1003" s="61"/>
      <c r="DJ1003" s="61"/>
      <c r="DK1003" s="61"/>
    </row>
    <row r="1004" spans="1:115" ht="21" customHeight="1" x14ac:dyDescent="0.25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108"/>
      <c r="N1004" s="108"/>
      <c r="O1004" s="108"/>
      <c r="P1004" s="108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  <c r="BV1004" s="61"/>
      <c r="BW1004" s="61"/>
      <c r="BX1004" s="61"/>
      <c r="BY1004" s="61"/>
      <c r="BZ1004" s="61"/>
      <c r="CA1004" s="61"/>
      <c r="CB1004" s="61"/>
      <c r="CC1004" s="61"/>
      <c r="CD1004" s="61"/>
      <c r="CE1004" s="61"/>
      <c r="CF1004" s="61"/>
      <c r="CG1004" s="61"/>
      <c r="CH1004" s="61"/>
      <c r="CI1004" s="61"/>
      <c r="CJ1004" s="61"/>
      <c r="CK1004" s="61"/>
      <c r="CL1004" s="61"/>
      <c r="CM1004" s="61"/>
      <c r="CN1004" s="61"/>
      <c r="CO1004" s="61"/>
      <c r="CP1004" s="61"/>
      <c r="CQ1004" s="61"/>
      <c r="CR1004" s="61"/>
      <c r="CS1004" s="61"/>
      <c r="CT1004" s="61"/>
      <c r="CU1004" s="61"/>
      <c r="CV1004" s="61"/>
      <c r="CW1004" s="61"/>
      <c r="CX1004" s="61"/>
      <c r="CY1004" s="61"/>
      <c r="CZ1004" s="61"/>
      <c r="DA1004" s="61"/>
      <c r="DB1004" s="61"/>
      <c r="DC1004" s="61"/>
      <c r="DD1004" s="61"/>
      <c r="DE1004" s="61"/>
      <c r="DF1004" s="61"/>
      <c r="DG1004" s="61"/>
      <c r="DH1004" s="61"/>
      <c r="DI1004" s="61"/>
      <c r="DJ1004" s="61"/>
      <c r="DK1004" s="61"/>
    </row>
    <row r="1005" spans="1:115" ht="21" customHeight="1" x14ac:dyDescent="0.2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108"/>
      <c r="N1005" s="108"/>
      <c r="O1005" s="108"/>
      <c r="P1005" s="108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  <c r="BV1005" s="61"/>
      <c r="BW1005" s="61"/>
      <c r="BX1005" s="61"/>
      <c r="BY1005" s="61"/>
      <c r="BZ1005" s="61"/>
      <c r="CA1005" s="61"/>
      <c r="CB1005" s="61"/>
      <c r="CC1005" s="61"/>
      <c r="CD1005" s="61"/>
      <c r="CE1005" s="61"/>
      <c r="CF1005" s="61"/>
      <c r="CG1005" s="61"/>
      <c r="CH1005" s="61"/>
      <c r="CI1005" s="61"/>
      <c r="CJ1005" s="61"/>
      <c r="CK1005" s="61"/>
      <c r="CL1005" s="61"/>
      <c r="CM1005" s="61"/>
      <c r="CN1005" s="61"/>
      <c r="CO1005" s="61"/>
      <c r="CP1005" s="61"/>
      <c r="CQ1005" s="61"/>
      <c r="CR1005" s="61"/>
      <c r="CS1005" s="61"/>
      <c r="CT1005" s="61"/>
      <c r="CU1005" s="61"/>
      <c r="CV1005" s="61"/>
      <c r="CW1005" s="61"/>
      <c r="CX1005" s="61"/>
      <c r="CY1005" s="61"/>
      <c r="CZ1005" s="61"/>
      <c r="DA1005" s="61"/>
      <c r="DB1005" s="61"/>
      <c r="DC1005" s="61"/>
      <c r="DD1005" s="61"/>
      <c r="DE1005" s="61"/>
      <c r="DF1005" s="61"/>
      <c r="DG1005" s="61"/>
      <c r="DH1005" s="61"/>
      <c r="DI1005" s="61"/>
      <c r="DJ1005" s="61"/>
      <c r="DK1005" s="61"/>
    </row>
    <row r="1006" spans="1:115" ht="21" customHeight="1" x14ac:dyDescent="0.25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108"/>
      <c r="N1006" s="108"/>
      <c r="O1006" s="108"/>
      <c r="P1006" s="108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  <c r="BV1006" s="61"/>
      <c r="BW1006" s="61"/>
      <c r="BX1006" s="61"/>
      <c r="BY1006" s="61"/>
      <c r="BZ1006" s="61"/>
      <c r="CA1006" s="61"/>
      <c r="CB1006" s="61"/>
      <c r="CC1006" s="61"/>
      <c r="CD1006" s="61"/>
      <c r="CE1006" s="61"/>
      <c r="CF1006" s="61"/>
      <c r="CG1006" s="61"/>
      <c r="CH1006" s="61"/>
      <c r="CI1006" s="61"/>
      <c r="CJ1006" s="61"/>
      <c r="CK1006" s="61"/>
      <c r="CL1006" s="61"/>
      <c r="CM1006" s="61"/>
      <c r="CN1006" s="61"/>
      <c r="CO1006" s="61"/>
      <c r="CP1006" s="61"/>
      <c r="CQ1006" s="61"/>
      <c r="CR1006" s="61"/>
      <c r="CS1006" s="61"/>
      <c r="CT1006" s="61"/>
      <c r="CU1006" s="61"/>
      <c r="CV1006" s="61"/>
      <c r="CW1006" s="61"/>
      <c r="CX1006" s="61"/>
      <c r="CY1006" s="61"/>
      <c r="CZ1006" s="61"/>
      <c r="DA1006" s="61"/>
      <c r="DB1006" s="61"/>
      <c r="DC1006" s="61"/>
      <c r="DD1006" s="61"/>
      <c r="DE1006" s="61"/>
      <c r="DF1006" s="61"/>
      <c r="DG1006" s="61"/>
      <c r="DH1006" s="61"/>
      <c r="DI1006" s="61"/>
      <c r="DJ1006" s="61"/>
      <c r="DK1006" s="61"/>
    </row>
    <row r="1007" spans="1:115" ht="21" customHeight="1" x14ac:dyDescent="0.25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108"/>
      <c r="N1007" s="108"/>
      <c r="O1007" s="108"/>
      <c r="P1007" s="108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  <c r="BV1007" s="61"/>
      <c r="BW1007" s="61"/>
      <c r="BX1007" s="61"/>
      <c r="BY1007" s="61"/>
      <c r="BZ1007" s="61"/>
      <c r="CA1007" s="61"/>
      <c r="CB1007" s="61"/>
      <c r="CC1007" s="61"/>
      <c r="CD1007" s="61"/>
      <c r="CE1007" s="61"/>
      <c r="CF1007" s="61"/>
      <c r="CG1007" s="61"/>
      <c r="CH1007" s="61"/>
      <c r="CI1007" s="61"/>
      <c r="CJ1007" s="61"/>
      <c r="CK1007" s="61"/>
      <c r="CL1007" s="61"/>
      <c r="CM1007" s="61"/>
      <c r="CN1007" s="61"/>
      <c r="CO1007" s="61"/>
      <c r="CP1007" s="61"/>
      <c r="CQ1007" s="61"/>
      <c r="CR1007" s="61"/>
      <c r="CS1007" s="61"/>
      <c r="CT1007" s="61"/>
      <c r="CU1007" s="61"/>
      <c r="CV1007" s="61"/>
      <c r="CW1007" s="61"/>
      <c r="CX1007" s="61"/>
      <c r="CY1007" s="61"/>
      <c r="CZ1007" s="61"/>
      <c r="DA1007" s="61"/>
      <c r="DB1007" s="61"/>
      <c r="DC1007" s="61"/>
      <c r="DD1007" s="61"/>
      <c r="DE1007" s="61"/>
      <c r="DF1007" s="61"/>
      <c r="DG1007" s="61"/>
      <c r="DH1007" s="61"/>
      <c r="DI1007" s="61"/>
      <c r="DJ1007" s="61"/>
      <c r="DK1007" s="61"/>
    </row>
    <row r="1008" spans="1:115" ht="21" customHeight="1" x14ac:dyDescent="0.25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108"/>
      <c r="N1008" s="108"/>
      <c r="O1008" s="108"/>
      <c r="P1008" s="108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  <c r="BV1008" s="61"/>
      <c r="BW1008" s="61"/>
      <c r="BX1008" s="61"/>
      <c r="BY1008" s="61"/>
      <c r="BZ1008" s="61"/>
      <c r="CA1008" s="61"/>
      <c r="CB1008" s="61"/>
      <c r="CC1008" s="61"/>
      <c r="CD1008" s="61"/>
      <c r="CE1008" s="61"/>
      <c r="CF1008" s="61"/>
      <c r="CG1008" s="61"/>
      <c r="CH1008" s="61"/>
      <c r="CI1008" s="61"/>
      <c r="CJ1008" s="61"/>
      <c r="CK1008" s="61"/>
      <c r="CL1008" s="61"/>
      <c r="CM1008" s="61"/>
      <c r="CN1008" s="61"/>
      <c r="CO1008" s="61"/>
      <c r="CP1008" s="61"/>
      <c r="CQ1008" s="61"/>
      <c r="CR1008" s="61"/>
      <c r="CS1008" s="61"/>
      <c r="CT1008" s="61"/>
      <c r="CU1008" s="61"/>
      <c r="CV1008" s="61"/>
      <c r="CW1008" s="61"/>
      <c r="CX1008" s="61"/>
      <c r="CY1008" s="61"/>
      <c r="CZ1008" s="61"/>
      <c r="DA1008" s="61"/>
      <c r="DB1008" s="61"/>
      <c r="DC1008" s="61"/>
      <c r="DD1008" s="61"/>
      <c r="DE1008" s="61"/>
      <c r="DF1008" s="61"/>
      <c r="DG1008" s="61"/>
      <c r="DH1008" s="61"/>
      <c r="DI1008" s="61"/>
      <c r="DJ1008" s="61"/>
      <c r="DK1008" s="61"/>
    </row>
    <row r="1009" spans="1:115" ht="21" customHeight="1" x14ac:dyDescent="0.25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108"/>
      <c r="N1009" s="108"/>
      <c r="O1009" s="108"/>
      <c r="P1009" s="108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  <c r="BV1009" s="61"/>
      <c r="BW1009" s="61"/>
      <c r="BX1009" s="61"/>
      <c r="BY1009" s="61"/>
      <c r="BZ1009" s="61"/>
      <c r="CA1009" s="61"/>
      <c r="CB1009" s="61"/>
      <c r="CC1009" s="61"/>
      <c r="CD1009" s="61"/>
      <c r="CE1009" s="61"/>
      <c r="CF1009" s="61"/>
      <c r="CG1009" s="61"/>
      <c r="CH1009" s="61"/>
      <c r="CI1009" s="61"/>
      <c r="CJ1009" s="61"/>
      <c r="CK1009" s="61"/>
      <c r="CL1009" s="61"/>
      <c r="CM1009" s="61"/>
      <c r="CN1009" s="61"/>
      <c r="CO1009" s="61"/>
      <c r="CP1009" s="61"/>
      <c r="CQ1009" s="61"/>
      <c r="CR1009" s="61"/>
      <c r="CS1009" s="61"/>
      <c r="CT1009" s="61"/>
      <c r="CU1009" s="61"/>
      <c r="CV1009" s="61"/>
      <c r="CW1009" s="61"/>
      <c r="CX1009" s="61"/>
      <c r="CY1009" s="61"/>
      <c r="CZ1009" s="61"/>
      <c r="DA1009" s="61"/>
      <c r="DB1009" s="61"/>
      <c r="DC1009" s="61"/>
      <c r="DD1009" s="61"/>
      <c r="DE1009" s="61"/>
      <c r="DF1009" s="61"/>
      <c r="DG1009" s="61"/>
      <c r="DH1009" s="61"/>
      <c r="DI1009" s="61"/>
      <c r="DJ1009" s="61"/>
      <c r="DK1009" s="61"/>
    </row>
    <row r="1010" spans="1:115" ht="21" customHeight="1" x14ac:dyDescent="0.25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108"/>
      <c r="N1010" s="108"/>
      <c r="O1010" s="108"/>
      <c r="P1010" s="108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  <c r="BV1010" s="61"/>
      <c r="BW1010" s="61"/>
      <c r="BX1010" s="61"/>
      <c r="BY1010" s="61"/>
      <c r="BZ1010" s="61"/>
      <c r="CA1010" s="61"/>
      <c r="CB1010" s="61"/>
      <c r="CC1010" s="61"/>
      <c r="CD1010" s="61"/>
      <c r="CE1010" s="61"/>
      <c r="CF1010" s="61"/>
      <c r="CG1010" s="61"/>
      <c r="CH1010" s="61"/>
      <c r="CI1010" s="61"/>
      <c r="CJ1010" s="61"/>
      <c r="CK1010" s="61"/>
      <c r="CL1010" s="61"/>
      <c r="CM1010" s="61"/>
      <c r="CN1010" s="61"/>
      <c r="CO1010" s="61"/>
      <c r="CP1010" s="61"/>
      <c r="CQ1010" s="61"/>
      <c r="CR1010" s="61"/>
      <c r="CS1010" s="61"/>
      <c r="CT1010" s="61"/>
      <c r="CU1010" s="61"/>
      <c r="CV1010" s="61"/>
      <c r="CW1010" s="61"/>
      <c r="CX1010" s="61"/>
      <c r="CY1010" s="61"/>
      <c r="CZ1010" s="61"/>
      <c r="DA1010" s="61"/>
      <c r="DB1010" s="61"/>
      <c r="DC1010" s="61"/>
      <c r="DD1010" s="61"/>
      <c r="DE1010" s="61"/>
      <c r="DF1010" s="61"/>
      <c r="DG1010" s="61"/>
      <c r="DH1010" s="61"/>
      <c r="DI1010" s="61"/>
      <c r="DJ1010" s="61"/>
      <c r="DK1010" s="61"/>
    </row>
    <row r="1011" spans="1:115" ht="21" customHeight="1" x14ac:dyDescent="0.25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108"/>
      <c r="N1011" s="108"/>
      <c r="O1011" s="108"/>
      <c r="P1011" s="108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  <c r="BV1011" s="61"/>
      <c r="BW1011" s="61"/>
      <c r="BX1011" s="61"/>
      <c r="BY1011" s="61"/>
      <c r="BZ1011" s="61"/>
      <c r="CA1011" s="61"/>
      <c r="CB1011" s="61"/>
      <c r="CC1011" s="61"/>
      <c r="CD1011" s="61"/>
      <c r="CE1011" s="61"/>
      <c r="CF1011" s="61"/>
      <c r="CG1011" s="61"/>
      <c r="CH1011" s="61"/>
      <c r="CI1011" s="61"/>
      <c r="CJ1011" s="61"/>
      <c r="CK1011" s="61"/>
      <c r="CL1011" s="61"/>
      <c r="CM1011" s="61"/>
      <c r="CN1011" s="61"/>
      <c r="CO1011" s="61"/>
      <c r="CP1011" s="61"/>
      <c r="CQ1011" s="61"/>
      <c r="CR1011" s="61"/>
      <c r="CS1011" s="61"/>
      <c r="CT1011" s="61"/>
      <c r="CU1011" s="61"/>
      <c r="CV1011" s="61"/>
      <c r="CW1011" s="61"/>
      <c r="CX1011" s="61"/>
      <c r="CY1011" s="61"/>
      <c r="CZ1011" s="61"/>
      <c r="DA1011" s="61"/>
      <c r="DB1011" s="61"/>
      <c r="DC1011" s="61"/>
      <c r="DD1011" s="61"/>
      <c r="DE1011" s="61"/>
      <c r="DF1011" s="61"/>
      <c r="DG1011" s="61"/>
      <c r="DH1011" s="61"/>
      <c r="DI1011" s="61"/>
      <c r="DJ1011" s="61"/>
      <c r="DK1011" s="61"/>
    </row>
    <row r="1012" spans="1:115" ht="21" customHeight="1" x14ac:dyDescent="0.25">
      <c r="A1012" s="61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1"/>
      <c r="M1012" s="108"/>
      <c r="N1012" s="108"/>
      <c r="O1012" s="108"/>
      <c r="P1012" s="108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  <c r="BV1012" s="61"/>
      <c r="BW1012" s="61"/>
      <c r="BX1012" s="61"/>
      <c r="BY1012" s="61"/>
      <c r="BZ1012" s="61"/>
      <c r="CA1012" s="61"/>
      <c r="CB1012" s="61"/>
      <c r="CC1012" s="61"/>
      <c r="CD1012" s="61"/>
      <c r="CE1012" s="61"/>
      <c r="CF1012" s="61"/>
      <c r="CG1012" s="61"/>
      <c r="CH1012" s="61"/>
      <c r="CI1012" s="61"/>
      <c r="CJ1012" s="61"/>
      <c r="CK1012" s="61"/>
      <c r="CL1012" s="61"/>
      <c r="CM1012" s="61"/>
      <c r="CN1012" s="61"/>
      <c r="CO1012" s="61"/>
      <c r="CP1012" s="61"/>
      <c r="CQ1012" s="61"/>
      <c r="CR1012" s="61"/>
      <c r="CS1012" s="61"/>
      <c r="CT1012" s="61"/>
      <c r="CU1012" s="61"/>
      <c r="CV1012" s="61"/>
      <c r="CW1012" s="61"/>
      <c r="CX1012" s="61"/>
      <c r="CY1012" s="61"/>
      <c r="CZ1012" s="61"/>
      <c r="DA1012" s="61"/>
      <c r="DB1012" s="61"/>
      <c r="DC1012" s="61"/>
      <c r="DD1012" s="61"/>
      <c r="DE1012" s="61"/>
      <c r="DF1012" s="61"/>
      <c r="DG1012" s="61"/>
      <c r="DH1012" s="61"/>
      <c r="DI1012" s="61"/>
      <c r="DJ1012" s="61"/>
      <c r="DK1012" s="61"/>
    </row>
    <row r="1013" spans="1:115" ht="21" customHeight="1" x14ac:dyDescent="0.25">
      <c r="A1013" s="61"/>
      <c r="B1013" s="61"/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108"/>
      <c r="N1013" s="108"/>
      <c r="O1013" s="108"/>
      <c r="P1013" s="108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  <c r="BV1013" s="61"/>
      <c r="BW1013" s="61"/>
      <c r="BX1013" s="61"/>
      <c r="BY1013" s="61"/>
      <c r="BZ1013" s="61"/>
      <c r="CA1013" s="61"/>
      <c r="CB1013" s="61"/>
      <c r="CC1013" s="61"/>
      <c r="CD1013" s="61"/>
      <c r="CE1013" s="61"/>
      <c r="CF1013" s="61"/>
      <c r="CG1013" s="61"/>
      <c r="CH1013" s="61"/>
      <c r="CI1013" s="61"/>
      <c r="CJ1013" s="61"/>
      <c r="CK1013" s="61"/>
      <c r="CL1013" s="61"/>
      <c r="CM1013" s="61"/>
      <c r="CN1013" s="61"/>
      <c r="CO1013" s="61"/>
      <c r="CP1013" s="61"/>
      <c r="CQ1013" s="61"/>
      <c r="CR1013" s="61"/>
      <c r="CS1013" s="61"/>
      <c r="CT1013" s="61"/>
      <c r="CU1013" s="61"/>
      <c r="CV1013" s="61"/>
      <c r="CW1013" s="61"/>
      <c r="CX1013" s="61"/>
      <c r="CY1013" s="61"/>
      <c r="CZ1013" s="61"/>
      <c r="DA1013" s="61"/>
      <c r="DB1013" s="61"/>
      <c r="DC1013" s="61"/>
      <c r="DD1013" s="61"/>
      <c r="DE1013" s="61"/>
      <c r="DF1013" s="61"/>
      <c r="DG1013" s="61"/>
      <c r="DH1013" s="61"/>
      <c r="DI1013" s="61"/>
      <c r="DJ1013" s="61"/>
      <c r="DK1013" s="61"/>
    </row>
    <row r="1014" spans="1:115" ht="21" customHeight="1" x14ac:dyDescent="0.25">
      <c r="A1014" s="61"/>
      <c r="B1014" s="61"/>
      <c r="C1014" s="61"/>
      <c r="D1014" s="61"/>
      <c r="E1014" s="61"/>
      <c r="F1014" s="61"/>
      <c r="G1014" s="61"/>
      <c r="H1014" s="61"/>
      <c r="I1014" s="61"/>
      <c r="J1014" s="61"/>
      <c r="K1014" s="61"/>
      <c r="L1014" s="61"/>
      <c r="M1014" s="108"/>
      <c r="N1014" s="108"/>
      <c r="O1014" s="108"/>
      <c r="P1014" s="108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  <c r="BV1014" s="61"/>
      <c r="BW1014" s="61"/>
      <c r="BX1014" s="61"/>
      <c r="BY1014" s="61"/>
      <c r="BZ1014" s="61"/>
      <c r="CA1014" s="61"/>
      <c r="CB1014" s="61"/>
      <c r="CC1014" s="61"/>
      <c r="CD1014" s="61"/>
      <c r="CE1014" s="61"/>
      <c r="CF1014" s="61"/>
      <c r="CG1014" s="61"/>
      <c r="CH1014" s="61"/>
      <c r="CI1014" s="61"/>
      <c r="CJ1014" s="61"/>
      <c r="CK1014" s="61"/>
      <c r="CL1014" s="61"/>
      <c r="CM1014" s="61"/>
      <c r="CN1014" s="61"/>
      <c r="CO1014" s="61"/>
      <c r="CP1014" s="61"/>
      <c r="CQ1014" s="61"/>
      <c r="CR1014" s="61"/>
      <c r="CS1014" s="61"/>
      <c r="CT1014" s="61"/>
      <c r="CU1014" s="61"/>
      <c r="CV1014" s="61"/>
      <c r="CW1014" s="61"/>
      <c r="CX1014" s="61"/>
      <c r="CY1014" s="61"/>
      <c r="CZ1014" s="61"/>
      <c r="DA1014" s="61"/>
      <c r="DB1014" s="61"/>
      <c r="DC1014" s="61"/>
      <c r="DD1014" s="61"/>
      <c r="DE1014" s="61"/>
      <c r="DF1014" s="61"/>
      <c r="DG1014" s="61"/>
      <c r="DH1014" s="61"/>
      <c r="DI1014" s="61"/>
      <c r="DJ1014" s="61"/>
      <c r="DK1014" s="61"/>
    </row>
    <row r="1015" spans="1:115" ht="21" customHeight="1" x14ac:dyDescent="0.25">
      <c r="A1015" s="61"/>
      <c r="B1015" s="61"/>
      <c r="C1015" s="61"/>
      <c r="D1015" s="61"/>
      <c r="E1015" s="61"/>
      <c r="F1015" s="61"/>
      <c r="G1015" s="61"/>
      <c r="H1015" s="61"/>
      <c r="I1015" s="61"/>
      <c r="J1015" s="61"/>
      <c r="K1015" s="61"/>
      <c r="L1015" s="61"/>
      <c r="M1015" s="108"/>
      <c r="N1015" s="108"/>
      <c r="O1015" s="108"/>
      <c r="P1015" s="108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  <c r="BV1015" s="61"/>
      <c r="BW1015" s="61"/>
      <c r="BX1015" s="61"/>
      <c r="BY1015" s="61"/>
      <c r="BZ1015" s="61"/>
      <c r="CA1015" s="61"/>
      <c r="CB1015" s="61"/>
      <c r="CC1015" s="61"/>
      <c r="CD1015" s="61"/>
      <c r="CE1015" s="61"/>
      <c r="CF1015" s="61"/>
      <c r="CG1015" s="61"/>
      <c r="CH1015" s="61"/>
      <c r="CI1015" s="61"/>
      <c r="CJ1015" s="61"/>
      <c r="CK1015" s="61"/>
      <c r="CL1015" s="61"/>
      <c r="CM1015" s="61"/>
      <c r="CN1015" s="61"/>
      <c r="CO1015" s="61"/>
      <c r="CP1015" s="61"/>
      <c r="CQ1015" s="61"/>
      <c r="CR1015" s="61"/>
      <c r="CS1015" s="61"/>
      <c r="CT1015" s="61"/>
      <c r="CU1015" s="61"/>
      <c r="CV1015" s="61"/>
      <c r="CW1015" s="61"/>
      <c r="CX1015" s="61"/>
      <c r="CY1015" s="61"/>
      <c r="CZ1015" s="61"/>
      <c r="DA1015" s="61"/>
      <c r="DB1015" s="61"/>
      <c r="DC1015" s="61"/>
      <c r="DD1015" s="61"/>
      <c r="DE1015" s="61"/>
      <c r="DF1015" s="61"/>
      <c r="DG1015" s="61"/>
      <c r="DH1015" s="61"/>
      <c r="DI1015" s="61"/>
      <c r="DJ1015" s="61"/>
      <c r="DK1015" s="61"/>
    </row>
    <row r="1016" spans="1:115" ht="21" customHeight="1" x14ac:dyDescent="0.25">
      <c r="A1016" s="61"/>
      <c r="B1016" s="61"/>
      <c r="C1016" s="61"/>
      <c r="D1016" s="61"/>
      <c r="E1016" s="61"/>
      <c r="F1016" s="61"/>
      <c r="G1016" s="61"/>
      <c r="H1016" s="61"/>
      <c r="I1016" s="61"/>
      <c r="J1016" s="61"/>
      <c r="K1016" s="61"/>
      <c r="L1016" s="61"/>
      <c r="M1016" s="108"/>
      <c r="N1016" s="108"/>
      <c r="O1016" s="108"/>
      <c r="P1016" s="108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  <c r="BV1016" s="61"/>
      <c r="BW1016" s="61"/>
      <c r="BX1016" s="61"/>
      <c r="BY1016" s="61"/>
      <c r="BZ1016" s="61"/>
      <c r="CA1016" s="61"/>
      <c r="CB1016" s="61"/>
      <c r="CC1016" s="61"/>
      <c r="CD1016" s="61"/>
      <c r="CE1016" s="61"/>
      <c r="CF1016" s="61"/>
      <c r="CG1016" s="61"/>
      <c r="CH1016" s="61"/>
      <c r="CI1016" s="61"/>
      <c r="CJ1016" s="61"/>
      <c r="CK1016" s="61"/>
      <c r="CL1016" s="61"/>
      <c r="CM1016" s="61"/>
      <c r="CN1016" s="61"/>
      <c r="CO1016" s="61"/>
      <c r="CP1016" s="61"/>
      <c r="CQ1016" s="61"/>
      <c r="CR1016" s="61"/>
      <c r="CS1016" s="61"/>
      <c r="CT1016" s="61"/>
      <c r="CU1016" s="61"/>
      <c r="CV1016" s="61"/>
      <c r="CW1016" s="61"/>
      <c r="CX1016" s="61"/>
      <c r="CY1016" s="61"/>
      <c r="CZ1016" s="61"/>
      <c r="DA1016" s="61"/>
      <c r="DB1016" s="61"/>
      <c r="DC1016" s="61"/>
      <c r="DD1016" s="61"/>
      <c r="DE1016" s="61"/>
      <c r="DF1016" s="61"/>
      <c r="DG1016" s="61"/>
      <c r="DH1016" s="61"/>
      <c r="DI1016" s="61"/>
      <c r="DJ1016" s="61"/>
      <c r="DK1016" s="61"/>
    </row>
    <row r="1017" spans="1:115" ht="21" customHeight="1" x14ac:dyDescent="0.25">
      <c r="A1017" s="61"/>
      <c r="B1017" s="61"/>
      <c r="C1017" s="61"/>
      <c r="D1017" s="61"/>
      <c r="E1017" s="61"/>
      <c r="F1017" s="61"/>
      <c r="G1017" s="61"/>
      <c r="H1017" s="61"/>
      <c r="I1017" s="61"/>
      <c r="J1017" s="61"/>
      <c r="K1017" s="61"/>
      <c r="L1017" s="61"/>
      <c r="M1017" s="108"/>
      <c r="N1017" s="108"/>
      <c r="O1017" s="108"/>
      <c r="P1017" s="108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  <c r="BV1017" s="61"/>
      <c r="BW1017" s="61"/>
      <c r="BX1017" s="61"/>
      <c r="BY1017" s="61"/>
      <c r="BZ1017" s="61"/>
      <c r="CA1017" s="61"/>
      <c r="CB1017" s="61"/>
      <c r="CC1017" s="61"/>
      <c r="CD1017" s="61"/>
      <c r="CE1017" s="61"/>
      <c r="CF1017" s="61"/>
      <c r="CG1017" s="61"/>
      <c r="CH1017" s="61"/>
      <c r="CI1017" s="61"/>
      <c r="CJ1017" s="61"/>
      <c r="CK1017" s="61"/>
      <c r="CL1017" s="61"/>
      <c r="CM1017" s="61"/>
      <c r="CN1017" s="61"/>
      <c r="CO1017" s="61"/>
      <c r="CP1017" s="61"/>
      <c r="CQ1017" s="61"/>
      <c r="CR1017" s="61"/>
      <c r="CS1017" s="61"/>
      <c r="CT1017" s="61"/>
      <c r="CU1017" s="61"/>
      <c r="CV1017" s="61"/>
      <c r="CW1017" s="61"/>
      <c r="CX1017" s="61"/>
      <c r="CY1017" s="61"/>
      <c r="CZ1017" s="61"/>
      <c r="DA1017" s="61"/>
      <c r="DB1017" s="61"/>
      <c r="DC1017" s="61"/>
      <c r="DD1017" s="61"/>
      <c r="DE1017" s="61"/>
      <c r="DF1017" s="61"/>
      <c r="DG1017" s="61"/>
      <c r="DH1017" s="61"/>
      <c r="DI1017" s="61"/>
      <c r="DJ1017" s="61"/>
      <c r="DK1017" s="61"/>
    </row>
    <row r="1018" spans="1:115" ht="21" customHeight="1" x14ac:dyDescent="0.25">
      <c r="A1018" s="61"/>
      <c r="B1018" s="61"/>
      <c r="C1018" s="61"/>
      <c r="D1018" s="61"/>
      <c r="E1018" s="61"/>
      <c r="F1018" s="61"/>
      <c r="G1018" s="61"/>
      <c r="H1018" s="61"/>
      <c r="I1018" s="61"/>
      <c r="J1018" s="61"/>
      <c r="K1018" s="61"/>
      <c r="L1018" s="61"/>
      <c r="M1018" s="108"/>
      <c r="N1018" s="108"/>
      <c r="O1018" s="108"/>
      <c r="P1018" s="108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  <c r="BV1018" s="61"/>
      <c r="BW1018" s="61"/>
      <c r="BX1018" s="61"/>
      <c r="BY1018" s="61"/>
      <c r="BZ1018" s="61"/>
      <c r="CA1018" s="61"/>
      <c r="CB1018" s="61"/>
      <c r="CC1018" s="61"/>
      <c r="CD1018" s="61"/>
      <c r="CE1018" s="61"/>
      <c r="CF1018" s="61"/>
      <c r="CG1018" s="61"/>
      <c r="CH1018" s="61"/>
      <c r="CI1018" s="61"/>
      <c r="CJ1018" s="61"/>
      <c r="CK1018" s="61"/>
      <c r="CL1018" s="61"/>
      <c r="CM1018" s="61"/>
      <c r="CN1018" s="61"/>
      <c r="CO1018" s="61"/>
      <c r="CP1018" s="61"/>
      <c r="CQ1018" s="61"/>
      <c r="CR1018" s="61"/>
      <c r="CS1018" s="61"/>
      <c r="CT1018" s="61"/>
      <c r="CU1018" s="61"/>
      <c r="CV1018" s="61"/>
      <c r="CW1018" s="61"/>
      <c r="CX1018" s="61"/>
      <c r="CY1018" s="61"/>
      <c r="CZ1018" s="61"/>
      <c r="DA1018" s="61"/>
      <c r="DB1018" s="61"/>
      <c r="DC1018" s="61"/>
      <c r="DD1018" s="61"/>
      <c r="DE1018" s="61"/>
      <c r="DF1018" s="61"/>
      <c r="DG1018" s="61"/>
      <c r="DH1018" s="61"/>
      <c r="DI1018" s="61"/>
      <c r="DJ1018" s="61"/>
      <c r="DK1018" s="61"/>
    </row>
    <row r="1019" spans="1:115" ht="21" customHeight="1" x14ac:dyDescent="0.25">
      <c r="A1019" s="61"/>
      <c r="B1019" s="61"/>
      <c r="C1019" s="61"/>
      <c r="D1019" s="61"/>
      <c r="E1019" s="61"/>
      <c r="F1019" s="61"/>
      <c r="G1019" s="61"/>
      <c r="H1019" s="61"/>
      <c r="I1019" s="61"/>
      <c r="J1019" s="61"/>
      <c r="K1019" s="61"/>
      <c r="L1019" s="61"/>
      <c r="M1019" s="108"/>
      <c r="N1019" s="108"/>
      <c r="O1019" s="108"/>
      <c r="P1019" s="108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  <c r="BV1019" s="61"/>
      <c r="BW1019" s="61"/>
      <c r="BX1019" s="61"/>
      <c r="BY1019" s="61"/>
      <c r="BZ1019" s="61"/>
      <c r="CA1019" s="61"/>
      <c r="CB1019" s="61"/>
      <c r="CC1019" s="61"/>
      <c r="CD1019" s="61"/>
      <c r="CE1019" s="61"/>
      <c r="CF1019" s="61"/>
      <c r="CG1019" s="61"/>
      <c r="CH1019" s="61"/>
      <c r="CI1019" s="61"/>
      <c r="CJ1019" s="61"/>
      <c r="CK1019" s="61"/>
      <c r="CL1019" s="61"/>
      <c r="CM1019" s="61"/>
      <c r="CN1019" s="61"/>
      <c r="CO1019" s="61"/>
      <c r="CP1019" s="61"/>
      <c r="CQ1019" s="61"/>
      <c r="CR1019" s="61"/>
      <c r="CS1019" s="61"/>
      <c r="CT1019" s="61"/>
      <c r="CU1019" s="61"/>
      <c r="CV1019" s="61"/>
      <c r="CW1019" s="61"/>
      <c r="CX1019" s="61"/>
      <c r="CY1019" s="61"/>
      <c r="CZ1019" s="61"/>
      <c r="DA1019" s="61"/>
      <c r="DB1019" s="61"/>
      <c r="DC1019" s="61"/>
      <c r="DD1019" s="61"/>
      <c r="DE1019" s="61"/>
      <c r="DF1019" s="61"/>
      <c r="DG1019" s="61"/>
      <c r="DH1019" s="61"/>
      <c r="DI1019" s="61"/>
      <c r="DJ1019" s="61"/>
      <c r="DK1019" s="61"/>
    </row>
    <row r="1020" spans="1:115" ht="21" customHeight="1" x14ac:dyDescent="0.25">
      <c r="A1020" s="61"/>
      <c r="B1020" s="61"/>
      <c r="C1020" s="61"/>
      <c r="D1020" s="61"/>
      <c r="E1020" s="61"/>
      <c r="F1020" s="61"/>
      <c r="G1020" s="61"/>
      <c r="H1020" s="61"/>
      <c r="I1020" s="61"/>
      <c r="J1020" s="61"/>
      <c r="K1020" s="61"/>
      <c r="L1020" s="61"/>
      <c r="M1020" s="108"/>
      <c r="N1020" s="108"/>
      <c r="O1020" s="108"/>
      <c r="P1020" s="108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  <c r="BV1020" s="61"/>
      <c r="BW1020" s="61"/>
      <c r="BX1020" s="61"/>
      <c r="BY1020" s="61"/>
      <c r="BZ1020" s="61"/>
      <c r="CA1020" s="61"/>
      <c r="CB1020" s="61"/>
      <c r="CC1020" s="61"/>
      <c r="CD1020" s="61"/>
      <c r="CE1020" s="61"/>
      <c r="CF1020" s="61"/>
      <c r="CG1020" s="61"/>
      <c r="CH1020" s="61"/>
      <c r="CI1020" s="61"/>
      <c r="CJ1020" s="61"/>
      <c r="CK1020" s="61"/>
      <c r="CL1020" s="61"/>
      <c r="CM1020" s="61"/>
      <c r="CN1020" s="61"/>
      <c r="CO1020" s="61"/>
      <c r="CP1020" s="61"/>
      <c r="CQ1020" s="61"/>
      <c r="CR1020" s="61"/>
      <c r="CS1020" s="61"/>
      <c r="CT1020" s="61"/>
      <c r="CU1020" s="61"/>
      <c r="CV1020" s="61"/>
      <c r="CW1020" s="61"/>
      <c r="CX1020" s="61"/>
      <c r="CY1020" s="61"/>
      <c r="CZ1020" s="61"/>
      <c r="DA1020" s="61"/>
      <c r="DB1020" s="61"/>
      <c r="DC1020" s="61"/>
      <c r="DD1020" s="61"/>
      <c r="DE1020" s="61"/>
      <c r="DF1020" s="61"/>
      <c r="DG1020" s="61"/>
      <c r="DH1020" s="61"/>
      <c r="DI1020" s="61"/>
      <c r="DJ1020" s="61"/>
      <c r="DK1020" s="61"/>
    </row>
    <row r="1021" spans="1:115" ht="21" customHeight="1" x14ac:dyDescent="0.25">
      <c r="A1021" s="61"/>
      <c r="B1021" s="61"/>
      <c r="C1021" s="61"/>
      <c r="D1021" s="61"/>
      <c r="E1021" s="61"/>
      <c r="F1021" s="61"/>
      <c r="G1021" s="61"/>
      <c r="H1021" s="61"/>
      <c r="I1021" s="61"/>
      <c r="J1021" s="61"/>
      <c r="K1021" s="61"/>
      <c r="L1021" s="61"/>
      <c r="M1021" s="108"/>
      <c r="N1021" s="108"/>
      <c r="O1021" s="108"/>
      <c r="P1021" s="108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  <c r="BV1021" s="61"/>
      <c r="BW1021" s="61"/>
      <c r="BX1021" s="61"/>
      <c r="BY1021" s="61"/>
      <c r="BZ1021" s="61"/>
      <c r="CA1021" s="61"/>
      <c r="CB1021" s="61"/>
      <c r="CC1021" s="61"/>
      <c r="CD1021" s="61"/>
      <c r="CE1021" s="61"/>
      <c r="CF1021" s="61"/>
      <c r="CG1021" s="61"/>
      <c r="CH1021" s="61"/>
      <c r="CI1021" s="61"/>
      <c r="CJ1021" s="61"/>
      <c r="CK1021" s="61"/>
      <c r="CL1021" s="61"/>
      <c r="CM1021" s="61"/>
      <c r="CN1021" s="61"/>
      <c r="CO1021" s="61"/>
      <c r="CP1021" s="61"/>
      <c r="CQ1021" s="61"/>
      <c r="CR1021" s="61"/>
      <c r="CS1021" s="61"/>
      <c r="CT1021" s="61"/>
      <c r="CU1021" s="61"/>
      <c r="CV1021" s="61"/>
      <c r="CW1021" s="61"/>
      <c r="CX1021" s="61"/>
      <c r="CY1021" s="61"/>
      <c r="CZ1021" s="61"/>
      <c r="DA1021" s="61"/>
      <c r="DB1021" s="61"/>
      <c r="DC1021" s="61"/>
      <c r="DD1021" s="61"/>
      <c r="DE1021" s="61"/>
      <c r="DF1021" s="61"/>
      <c r="DG1021" s="61"/>
      <c r="DH1021" s="61"/>
      <c r="DI1021" s="61"/>
      <c r="DJ1021" s="61"/>
      <c r="DK1021" s="61"/>
    </row>
    <row r="1022" spans="1:115" ht="21" customHeight="1" x14ac:dyDescent="0.25">
      <c r="A1022" s="61"/>
      <c r="B1022" s="61"/>
      <c r="C1022" s="61"/>
      <c r="D1022" s="61"/>
      <c r="E1022" s="61"/>
      <c r="F1022" s="61"/>
      <c r="G1022" s="61"/>
      <c r="H1022" s="61"/>
      <c r="I1022" s="61"/>
      <c r="J1022" s="61"/>
      <c r="K1022" s="61"/>
      <c r="L1022" s="61"/>
      <c r="M1022" s="108"/>
      <c r="N1022" s="108"/>
      <c r="O1022" s="108"/>
      <c r="P1022" s="108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  <c r="BV1022" s="61"/>
      <c r="BW1022" s="61"/>
      <c r="BX1022" s="61"/>
      <c r="BY1022" s="61"/>
      <c r="BZ1022" s="61"/>
      <c r="CA1022" s="61"/>
      <c r="CB1022" s="61"/>
      <c r="CC1022" s="61"/>
      <c r="CD1022" s="61"/>
      <c r="CE1022" s="61"/>
      <c r="CF1022" s="61"/>
      <c r="CG1022" s="61"/>
      <c r="CH1022" s="61"/>
      <c r="CI1022" s="61"/>
      <c r="CJ1022" s="61"/>
      <c r="CK1022" s="61"/>
      <c r="CL1022" s="61"/>
      <c r="CM1022" s="61"/>
      <c r="CN1022" s="61"/>
      <c r="CO1022" s="61"/>
      <c r="CP1022" s="61"/>
      <c r="CQ1022" s="61"/>
      <c r="CR1022" s="61"/>
      <c r="CS1022" s="61"/>
      <c r="CT1022" s="61"/>
      <c r="CU1022" s="61"/>
      <c r="CV1022" s="61"/>
      <c r="CW1022" s="61"/>
      <c r="CX1022" s="61"/>
      <c r="CY1022" s="61"/>
      <c r="CZ1022" s="61"/>
      <c r="DA1022" s="61"/>
      <c r="DB1022" s="61"/>
      <c r="DC1022" s="61"/>
      <c r="DD1022" s="61"/>
      <c r="DE1022" s="61"/>
      <c r="DF1022" s="61"/>
      <c r="DG1022" s="61"/>
      <c r="DH1022" s="61"/>
      <c r="DI1022" s="61"/>
      <c r="DJ1022" s="61"/>
      <c r="DK1022" s="61"/>
    </row>
    <row r="1023" spans="1:115" ht="21" customHeight="1" x14ac:dyDescent="0.25">
      <c r="A1023" s="61"/>
      <c r="B1023" s="61"/>
      <c r="C1023" s="61"/>
      <c r="D1023" s="61"/>
      <c r="E1023" s="61"/>
      <c r="F1023" s="61"/>
      <c r="G1023" s="61"/>
      <c r="H1023" s="61"/>
      <c r="I1023" s="61"/>
      <c r="J1023" s="61"/>
      <c r="K1023" s="61"/>
      <c r="L1023" s="61"/>
      <c r="M1023" s="108"/>
      <c r="N1023" s="108"/>
      <c r="O1023" s="108"/>
      <c r="P1023" s="108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  <c r="BV1023" s="61"/>
      <c r="BW1023" s="61"/>
      <c r="BX1023" s="61"/>
      <c r="BY1023" s="61"/>
      <c r="BZ1023" s="61"/>
      <c r="CA1023" s="61"/>
      <c r="CB1023" s="61"/>
      <c r="CC1023" s="61"/>
      <c r="CD1023" s="61"/>
      <c r="CE1023" s="61"/>
      <c r="CF1023" s="61"/>
      <c r="CG1023" s="61"/>
      <c r="CH1023" s="61"/>
      <c r="CI1023" s="61"/>
      <c r="CJ1023" s="61"/>
      <c r="CK1023" s="61"/>
      <c r="CL1023" s="61"/>
      <c r="CM1023" s="61"/>
      <c r="CN1023" s="61"/>
      <c r="CO1023" s="61"/>
      <c r="CP1023" s="61"/>
      <c r="CQ1023" s="61"/>
      <c r="CR1023" s="61"/>
      <c r="CS1023" s="61"/>
      <c r="CT1023" s="61"/>
      <c r="CU1023" s="61"/>
      <c r="CV1023" s="61"/>
      <c r="CW1023" s="61"/>
      <c r="CX1023" s="61"/>
      <c r="CY1023" s="61"/>
      <c r="CZ1023" s="61"/>
      <c r="DA1023" s="61"/>
      <c r="DB1023" s="61"/>
      <c r="DC1023" s="61"/>
      <c r="DD1023" s="61"/>
      <c r="DE1023" s="61"/>
      <c r="DF1023" s="61"/>
      <c r="DG1023" s="61"/>
      <c r="DH1023" s="61"/>
      <c r="DI1023" s="61"/>
      <c r="DJ1023" s="61"/>
      <c r="DK1023" s="61"/>
    </row>
    <row r="1024" spans="1:115" ht="21" customHeight="1" x14ac:dyDescent="0.25">
      <c r="A1024" s="61"/>
      <c r="B1024" s="61"/>
      <c r="C1024" s="61"/>
      <c r="D1024" s="61"/>
      <c r="E1024" s="61"/>
      <c r="F1024" s="61"/>
      <c r="G1024" s="61"/>
      <c r="H1024" s="61"/>
      <c r="I1024" s="61"/>
      <c r="J1024" s="61"/>
      <c r="K1024" s="61"/>
      <c r="L1024" s="61"/>
      <c r="M1024" s="108"/>
      <c r="N1024" s="108"/>
      <c r="O1024" s="108"/>
      <c r="P1024" s="108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  <c r="BV1024" s="61"/>
      <c r="BW1024" s="61"/>
      <c r="BX1024" s="61"/>
      <c r="BY1024" s="61"/>
      <c r="BZ1024" s="61"/>
      <c r="CA1024" s="61"/>
      <c r="CB1024" s="61"/>
      <c r="CC1024" s="61"/>
      <c r="CD1024" s="61"/>
      <c r="CE1024" s="61"/>
      <c r="CF1024" s="61"/>
      <c r="CG1024" s="61"/>
      <c r="CH1024" s="61"/>
      <c r="CI1024" s="61"/>
      <c r="CJ1024" s="61"/>
      <c r="CK1024" s="61"/>
      <c r="CL1024" s="61"/>
      <c r="CM1024" s="61"/>
      <c r="CN1024" s="61"/>
      <c r="CO1024" s="61"/>
      <c r="CP1024" s="61"/>
      <c r="CQ1024" s="61"/>
      <c r="CR1024" s="61"/>
      <c r="CS1024" s="61"/>
      <c r="CT1024" s="61"/>
      <c r="CU1024" s="61"/>
      <c r="CV1024" s="61"/>
      <c r="CW1024" s="61"/>
      <c r="CX1024" s="61"/>
      <c r="CY1024" s="61"/>
      <c r="CZ1024" s="61"/>
      <c r="DA1024" s="61"/>
      <c r="DB1024" s="61"/>
      <c r="DC1024" s="61"/>
      <c r="DD1024" s="61"/>
      <c r="DE1024" s="61"/>
      <c r="DF1024" s="61"/>
      <c r="DG1024" s="61"/>
      <c r="DH1024" s="61"/>
      <c r="DI1024" s="61"/>
      <c r="DJ1024" s="61"/>
      <c r="DK1024" s="61"/>
    </row>
    <row r="1025" spans="1:115" ht="21" customHeight="1" x14ac:dyDescent="0.25">
      <c r="A1025" s="61"/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108"/>
      <c r="N1025" s="108"/>
      <c r="O1025" s="108"/>
      <c r="P1025" s="108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  <c r="BV1025" s="61"/>
      <c r="BW1025" s="61"/>
      <c r="BX1025" s="61"/>
      <c r="BY1025" s="61"/>
      <c r="BZ1025" s="61"/>
      <c r="CA1025" s="61"/>
      <c r="CB1025" s="61"/>
      <c r="CC1025" s="61"/>
      <c r="CD1025" s="61"/>
      <c r="CE1025" s="61"/>
      <c r="CF1025" s="61"/>
      <c r="CG1025" s="61"/>
      <c r="CH1025" s="61"/>
      <c r="CI1025" s="61"/>
      <c r="CJ1025" s="61"/>
      <c r="CK1025" s="61"/>
      <c r="CL1025" s="61"/>
      <c r="CM1025" s="61"/>
      <c r="CN1025" s="61"/>
      <c r="CO1025" s="61"/>
      <c r="CP1025" s="61"/>
      <c r="CQ1025" s="61"/>
      <c r="CR1025" s="61"/>
      <c r="CS1025" s="61"/>
      <c r="CT1025" s="61"/>
      <c r="CU1025" s="61"/>
      <c r="CV1025" s="61"/>
      <c r="CW1025" s="61"/>
      <c r="CX1025" s="61"/>
      <c r="CY1025" s="61"/>
      <c r="CZ1025" s="61"/>
      <c r="DA1025" s="61"/>
      <c r="DB1025" s="61"/>
      <c r="DC1025" s="61"/>
      <c r="DD1025" s="61"/>
      <c r="DE1025" s="61"/>
      <c r="DF1025" s="61"/>
      <c r="DG1025" s="61"/>
      <c r="DH1025" s="61"/>
      <c r="DI1025" s="61"/>
      <c r="DJ1025" s="61"/>
      <c r="DK1025" s="61"/>
    </row>
    <row r="1026" spans="1:115" ht="21" customHeight="1" x14ac:dyDescent="0.25">
      <c r="A1026" s="61"/>
      <c r="B1026" s="61"/>
      <c r="C1026" s="61"/>
      <c r="D1026" s="61"/>
      <c r="E1026" s="61"/>
      <c r="F1026" s="61"/>
      <c r="G1026" s="61"/>
      <c r="H1026" s="61"/>
      <c r="I1026" s="61"/>
      <c r="J1026" s="61"/>
      <c r="K1026" s="61"/>
      <c r="L1026" s="61"/>
      <c r="M1026" s="108"/>
      <c r="N1026" s="108"/>
      <c r="O1026" s="108"/>
      <c r="P1026" s="108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  <c r="BV1026" s="61"/>
      <c r="BW1026" s="61"/>
      <c r="BX1026" s="61"/>
      <c r="BY1026" s="61"/>
      <c r="BZ1026" s="61"/>
      <c r="CA1026" s="61"/>
      <c r="CB1026" s="61"/>
      <c r="CC1026" s="61"/>
      <c r="CD1026" s="61"/>
      <c r="CE1026" s="61"/>
      <c r="CF1026" s="61"/>
      <c r="CG1026" s="61"/>
      <c r="CH1026" s="61"/>
      <c r="CI1026" s="61"/>
      <c r="CJ1026" s="61"/>
      <c r="CK1026" s="61"/>
      <c r="CL1026" s="61"/>
      <c r="CM1026" s="61"/>
      <c r="CN1026" s="61"/>
      <c r="CO1026" s="61"/>
      <c r="CP1026" s="61"/>
      <c r="CQ1026" s="61"/>
      <c r="CR1026" s="61"/>
      <c r="CS1026" s="61"/>
      <c r="CT1026" s="61"/>
      <c r="CU1026" s="61"/>
      <c r="CV1026" s="61"/>
      <c r="CW1026" s="61"/>
      <c r="CX1026" s="61"/>
      <c r="CY1026" s="61"/>
      <c r="CZ1026" s="61"/>
      <c r="DA1026" s="61"/>
      <c r="DB1026" s="61"/>
      <c r="DC1026" s="61"/>
      <c r="DD1026" s="61"/>
      <c r="DE1026" s="61"/>
      <c r="DF1026" s="61"/>
      <c r="DG1026" s="61"/>
      <c r="DH1026" s="61"/>
      <c r="DI1026" s="61"/>
      <c r="DJ1026" s="61"/>
      <c r="DK1026" s="61"/>
    </row>
    <row r="1027" spans="1:115" ht="21" customHeight="1" x14ac:dyDescent="0.25">
      <c r="A1027" s="61"/>
      <c r="B1027" s="61"/>
      <c r="C1027" s="61"/>
      <c r="D1027" s="61"/>
      <c r="E1027" s="61"/>
      <c r="F1027" s="61"/>
      <c r="G1027" s="61"/>
      <c r="H1027" s="61"/>
      <c r="I1027" s="61"/>
      <c r="J1027" s="61"/>
      <c r="K1027" s="61"/>
      <c r="L1027" s="61"/>
      <c r="M1027" s="108"/>
      <c r="N1027" s="108"/>
      <c r="O1027" s="108"/>
      <c r="P1027" s="108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  <c r="BV1027" s="61"/>
      <c r="BW1027" s="61"/>
      <c r="BX1027" s="61"/>
      <c r="BY1027" s="61"/>
      <c r="BZ1027" s="61"/>
      <c r="CA1027" s="61"/>
      <c r="CB1027" s="61"/>
      <c r="CC1027" s="61"/>
      <c r="CD1027" s="61"/>
      <c r="CE1027" s="61"/>
      <c r="CF1027" s="61"/>
      <c r="CG1027" s="61"/>
      <c r="CH1027" s="61"/>
      <c r="CI1027" s="61"/>
      <c r="CJ1027" s="61"/>
      <c r="CK1027" s="61"/>
      <c r="CL1027" s="61"/>
      <c r="CM1027" s="61"/>
      <c r="CN1027" s="61"/>
      <c r="CO1027" s="61"/>
      <c r="CP1027" s="61"/>
      <c r="CQ1027" s="61"/>
      <c r="CR1027" s="61"/>
      <c r="CS1027" s="61"/>
      <c r="CT1027" s="61"/>
      <c r="CU1027" s="61"/>
      <c r="CV1027" s="61"/>
      <c r="CW1027" s="61"/>
      <c r="CX1027" s="61"/>
      <c r="CY1027" s="61"/>
      <c r="CZ1027" s="61"/>
      <c r="DA1027" s="61"/>
      <c r="DB1027" s="61"/>
      <c r="DC1027" s="61"/>
      <c r="DD1027" s="61"/>
      <c r="DE1027" s="61"/>
      <c r="DF1027" s="61"/>
      <c r="DG1027" s="61"/>
      <c r="DH1027" s="61"/>
      <c r="DI1027" s="61"/>
      <c r="DJ1027" s="61"/>
      <c r="DK1027" s="61"/>
    </row>
    <row r="1028" spans="1:115" ht="21" customHeight="1" x14ac:dyDescent="0.25">
      <c r="A1028" s="61"/>
      <c r="B1028" s="61"/>
      <c r="C1028" s="61"/>
      <c r="D1028" s="61"/>
      <c r="E1028" s="61"/>
      <c r="F1028" s="61"/>
      <c r="G1028" s="61"/>
      <c r="H1028" s="61"/>
      <c r="I1028" s="61"/>
      <c r="J1028" s="61"/>
      <c r="K1028" s="61"/>
      <c r="L1028" s="61"/>
      <c r="M1028" s="108"/>
      <c r="N1028" s="108"/>
      <c r="O1028" s="108"/>
      <c r="P1028" s="108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  <c r="BV1028" s="61"/>
      <c r="BW1028" s="61"/>
      <c r="BX1028" s="61"/>
      <c r="BY1028" s="61"/>
      <c r="BZ1028" s="61"/>
      <c r="CA1028" s="61"/>
      <c r="CB1028" s="61"/>
      <c r="CC1028" s="61"/>
      <c r="CD1028" s="61"/>
      <c r="CE1028" s="61"/>
      <c r="CF1028" s="61"/>
      <c r="CG1028" s="61"/>
      <c r="CH1028" s="61"/>
      <c r="CI1028" s="61"/>
      <c r="CJ1028" s="61"/>
      <c r="CK1028" s="61"/>
      <c r="CL1028" s="61"/>
      <c r="CM1028" s="61"/>
      <c r="CN1028" s="61"/>
      <c r="CO1028" s="61"/>
      <c r="CP1028" s="61"/>
      <c r="CQ1028" s="61"/>
      <c r="CR1028" s="61"/>
      <c r="CS1028" s="61"/>
      <c r="CT1028" s="61"/>
      <c r="CU1028" s="61"/>
      <c r="CV1028" s="61"/>
      <c r="CW1028" s="61"/>
      <c r="CX1028" s="61"/>
      <c r="CY1028" s="61"/>
      <c r="CZ1028" s="61"/>
      <c r="DA1028" s="61"/>
      <c r="DB1028" s="61"/>
      <c r="DC1028" s="61"/>
      <c r="DD1028" s="61"/>
      <c r="DE1028" s="61"/>
      <c r="DF1028" s="61"/>
      <c r="DG1028" s="61"/>
      <c r="DH1028" s="61"/>
      <c r="DI1028" s="61"/>
      <c r="DJ1028" s="61"/>
      <c r="DK1028" s="61"/>
    </row>
    <row r="1029" spans="1:115" ht="21" customHeight="1" x14ac:dyDescent="0.25">
      <c r="A1029" s="61"/>
      <c r="B1029" s="61"/>
      <c r="C1029" s="61"/>
      <c r="D1029" s="61"/>
      <c r="E1029" s="61"/>
      <c r="F1029" s="61"/>
      <c r="G1029" s="61"/>
      <c r="H1029" s="61"/>
      <c r="I1029" s="61"/>
      <c r="J1029" s="61"/>
      <c r="K1029" s="61"/>
      <c r="L1029" s="61"/>
      <c r="M1029" s="108"/>
      <c r="N1029" s="108"/>
      <c r="O1029" s="108"/>
      <c r="P1029" s="108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  <c r="BV1029" s="61"/>
      <c r="BW1029" s="61"/>
      <c r="BX1029" s="61"/>
      <c r="BY1029" s="61"/>
      <c r="BZ1029" s="61"/>
      <c r="CA1029" s="61"/>
      <c r="CB1029" s="61"/>
      <c r="CC1029" s="61"/>
      <c r="CD1029" s="61"/>
      <c r="CE1029" s="61"/>
      <c r="CF1029" s="61"/>
      <c r="CG1029" s="61"/>
      <c r="CH1029" s="61"/>
      <c r="CI1029" s="61"/>
      <c r="CJ1029" s="61"/>
      <c r="CK1029" s="61"/>
      <c r="CL1029" s="61"/>
      <c r="CM1029" s="61"/>
      <c r="CN1029" s="61"/>
      <c r="CO1029" s="61"/>
      <c r="CP1029" s="61"/>
      <c r="CQ1029" s="61"/>
      <c r="CR1029" s="61"/>
      <c r="CS1029" s="61"/>
      <c r="CT1029" s="61"/>
      <c r="CU1029" s="61"/>
      <c r="CV1029" s="61"/>
      <c r="CW1029" s="61"/>
      <c r="CX1029" s="61"/>
      <c r="CY1029" s="61"/>
      <c r="CZ1029" s="61"/>
      <c r="DA1029" s="61"/>
      <c r="DB1029" s="61"/>
      <c r="DC1029" s="61"/>
      <c r="DD1029" s="61"/>
      <c r="DE1029" s="61"/>
      <c r="DF1029" s="61"/>
      <c r="DG1029" s="61"/>
      <c r="DH1029" s="61"/>
      <c r="DI1029" s="61"/>
      <c r="DJ1029" s="61"/>
      <c r="DK1029" s="61"/>
    </row>
    <row r="1030" spans="1:115" ht="21" customHeight="1" x14ac:dyDescent="0.25">
      <c r="A1030" s="61"/>
      <c r="B1030" s="61"/>
      <c r="C1030" s="61"/>
      <c r="D1030" s="61"/>
      <c r="E1030" s="61"/>
      <c r="F1030" s="61"/>
      <c r="G1030" s="61"/>
      <c r="H1030" s="61"/>
      <c r="I1030" s="61"/>
      <c r="J1030" s="61"/>
      <c r="K1030" s="61"/>
      <c r="L1030" s="61"/>
      <c r="M1030" s="108"/>
      <c r="N1030" s="108"/>
      <c r="O1030" s="108"/>
      <c r="P1030" s="108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  <c r="BV1030" s="61"/>
      <c r="BW1030" s="61"/>
      <c r="BX1030" s="61"/>
      <c r="BY1030" s="61"/>
      <c r="BZ1030" s="61"/>
      <c r="CA1030" s="61"/>
      <c r="CB1030" s="61"/>
      <c r="CC1030" s="61"/>
      <c r="CD1030" s="61"/>
      <c r="CE1030" s="61"/>
      <c r="CF1030" s="61"/>
      <c r="CG1030" s="61"/>
      <c r="CH1030" s="61"/>
      <c r="CI1030" s="61"/>
      <c r="CJ1030" s="61"/>
      <c r="CK1030" s="61"/>
      <c r="CL1030" s="61"/>
      <c r="CM1030" s="61"/>
      <c r="CN1030" s="61"/>
      <c r="CO1030" s="61"/>
      <c r="CP1030" s="61"/>
      <c r="CQ1030" s="61"/>
      <c r="CR1030" s="61"/>
      <c r="CS1030" s="61"/>
      <c r="CT1030" s="61"/>
      <c r="CU1030" s="61"/>
      <c r="CV1030" s="61"/>
      <c r="CW1030" s="61"/>
      <c r="CX1030" s="61"/>
      <c r="CY1030" s="61"/>
      <c r="CZ1030" s="61"/>
      <c r="DA1030" s="61"/>
      <c r="DB1030" s="61"/>
      <c r="DC1030" s="61"/>
      <c r="DD1030" s="61"/>
      <c r="DE1030" s="61"/>
      <c r="DF1030" s="61"/>
      <c r="DG1030" s="61"/>
      <c r="DH1030" s="61"/>
      <c r="DI1030" s="61"/>
      <c r="DJ1030" s="61"/>
      <c r="DK1030" s="61"/>
    </row>
    <row r="1031" spans="1:115" ht="21" customHeight="1" x14ac:dyDescent="0.25">
      <c r="A1031" s="61"/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108"/>
      <c r="N1031" s="108"/>
      <c r="O1031" s="108"/>
      <c r="P1031" s="108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  <c r="BV1031" s="61"/>
      <c r="BW1031" s="61"/>
      <c r="BX1031" s="61"/>
      <c r="BY1031" s="61"/>
      <c r="BZ1031" s="61"/>
      <c r="CA1031" s="61"/>
      <c r="CB1031" s="61"/>
      <c r="CC1031" s="61"/>
      <c r="CD1031" s="61"/>
      <c r="CE1031" s="61"/>
      <c r="CF1031" s="61"/>
      <c r="CG1031" s="61"/>
      <c r="CH1031" s="61"/>
      <c r="CI1031" s="61"/>
      <c r="CJ1031" s="61"/>
      <c r="CK1031" s="61"/>
      <c r="CL1031" s="61"/>
      <c r="CM1031" s="61"/>
      <c r="CN1031" s="61"/>
      <c r="CO1031" s="61"/>
      <c r="CP1031" s="61"/>
      <c r="CQ1031" s="61"/>
      <c r="CR1031" s="61"/>
      <c r="CS1031" s="61"/>
      <c r="CT1031" s="61"/>
      <c r="CU1031" s="61"/>
      <c r="CV1031" s="61"/>
      <c r="CW1031" s="61"/>
      <c r="CX1031" s="61"/>
      <c r="CY1031" s="61"/>
      <c r="CZ1031" s="61"/>
      <c r="DA1031" s="61"/>
      <c r="DB1031" s="61"/>
      <c r="DC1031" s="61"/>
      <c r="DD1031" s="61"/>
      <c r="DE1031" s="61"/>
      <c r="DF1031" s="61"/>
      <c r="DG1031" s="61"/>
      <c r="DH1031" s="61"/>
      <c r="DI1031" s="61"/>
      <c r="DJ1031" s="61"/>
      <c r="DK1031" s="61"/>
    </row>
    <row r="1032" spans="1:115" ht="21" customHeight="1" x14ac:dyDescent="0.25">
      <c r="A1032" s="61"/>
      <c r="B1032" s="61"/>
      <c r="C1032" s="61"/>
      <c r="D1032" s="61"/>
      <c r="E1032" s="61"/>
      <c r="F1032" s="61"/>
      <c r="G1032" s="61"/>
      <c r="H1032" s="61"/>
      <c r="I1032" s="61"/>
      <c r="J1032" s="61"/>
      <c r="K1032" s="61"/>
      <c r="L1032" s="61"/>
      <c r="M1032" s="108"/>
      <c r="N1032" s="108"/>
      <c r="O1032" s="108"/>
      <c r="P1032" s="108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  <c r="BV1032" s="61"/>
      <c r="BW1032" s="61"/>
      <c r="BX1032" s="61"/>
      <c r="BY1032" s="61"/>
      <c r="BZ1032" s="61"/>
      <c r="CA1032" s="61"/>
      <c r="CB1032" s="61"/>
      <c r="CC1032" s="61"/>
      <c r="CD1032" s="61"/>
      <c r="CE1032" s="61"/>
      <c r="CF1032" s="61"/>
      <c r="CG1032" s="61"/>
      <c r="CH1032" s="61"/>
      <c r="CI1032" s="61"/>
      <c r="CJ1032" s="61"/>
      <c r="CK1032" s="61"/>
      <c r="CL1032" s="61"/>
      <c r="CM1032" s="61"/>
      <c r="CN1032" s="61"/>
      <c r="CO1032" s="61"/>
      <c r="CP1032" s="61"/>
      <c r="CQ1032" s="61"/>
      <c r="CR1032" s="61"/>
      <c r="CS1032" s="61"/>
      <c r="CT1032" s="61"/>
      <c r="CU1032" s="61"/>
      <c r="CV1032" s="61"/>
      <c r="CW1032" s="61"/>
      <c r="CX1032" s="61"/>
      <c r="CY1032" s="61"/>
      <c r="CZ1032" s="61"/>
      <c r="DA1032" s="61"/>
      <c r="DB1032" s="61"/>
      <c r="DC1032" s="61"/>
      <c r="DD1032" s="61"/>
      <c r="DE1032" s="61"/>
      <c r="DF1032" s="61"/>
      <c r="DG1032" s="61"/>
      <c r="DH1032" s="61"/>
      <c r="DI1032" s="61"/>
      <c r="DJ1032" s="61"/>
      <c r="DK1032" s="61"/>
    </row>
  </sheetData>
  <mergeCells count="64">
    <mergeCell ref="B14:B17"/>
    <mergeCell ref="C14:C17"/>
    <mergeCell ref="D14:E16"/>
    <mergeCell ref="F14:F16"/>
    <mergeCell ref="G14:G16"/>
    <mergeCell ref="CB14:CV15"/>
    <mergeCell ref="L14:L17"/>
    <mergeCell ref="M14:M17"/>
    <mergeCell ref="N14:N17"/>
    <mergeCell ref="O14:O16"/>
    <mergeCell ref="P14:P17"/>
    <mergeCell ref="Q14:AK15"/>
    <mergeCell ref="AL14:BF15"/>
    <mergeCell ref="H14:H17"/>
    <mergeCell ref="I14:I16"/>
    <mergeCell ref="J14:J16"/>
    <mergeCell ref="K14:K17"/>
    <mergeCell ref="BG14:CA15"/>
    <mergeCell ref="Q5:Y5"/>
    <mergeCell ref="AA5:AO5"/>
    <mergeCell ref="B2:M2"/>
    <mergeCell ref="Q2:X2"/>
    <mergeCell ref="Y2:AS2"/>
    <mergeCell ref="B4:C4"/>
    <mergeCell ref="Q4:Y4"/>
    <mergeCell ref="AA4:AP4"/>
    <mergeCell ref="B5:C5"/>
    <mergeCell ref="H4:M4"/>
    <mergeCell ref="H5:M5"/>
    <mergeCell ref="D51:E51"/>
    <mergeCell ref="D52:E52"/>
    <mergeCell ref="D53:E53"/>
    <mergeCell ref="D40:E40"/>
    <mergeCell ref="D41:E41"/>
    <mergeCell ref="D42:E42"/>
    <mergeCell ref="D43:E43"/>
    <mergeCell ref="D44:E44"/>
    <mergeCell ref="D45:E45"/>
    <mergeCell ref="D46:E46"/>
    <mergeCell ref="C39:E39"/>
    <mergeCell ref="D47:E47"/>
    <mergeCell ref="D48:E48"/>
    <mergeCell ref="D49:E49"/>
    <mergeCell ref="D50:E50"/>
    <mergeCell ref="D34:E34"/>
    <mergeCell ref="D35:E35"/>
    <mergeCell ref="D36:E36"/>
    <mergeCell ref="D37:E37"/>
    <mergeCell ref="D38:E38"/>
    <mergeCell ref="D29:E29"/>
    <mergeCell ref="C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</mergeCells>
  <conditionalFormatting sqref="N19:N29 N31:N53 O39:P39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Q19:AK29 Q31:AK53">
    <cfRule type="expression" dxfId="3" priority="3">
      <formula>AND(Q$17&gt;=$K19, Q$17&lt;=$L19)</formula>
    </cfRule>
  </conditionalFormatting>
  <conditionalFormatting sqref="AL19:BF29 AL31:BF53">
    <cfRule type="expression" dxfId="2" priority="4">
      <formula>AND(AL$17&gt;=$K19, AL$17&lt;=$L19)</formula>
    </cfRule>
  </conditionalFormatting>
  <conditionalFormatting sqref="BG19:CA29 BG31:CA53">
    <cfRule type="expression" dxfId="1" priority="5">
      <formula>AND(BG$17&gt;=$K19,BG$17&lt;=$L19)</formula>
    </cfRule>
  </conditionalFormatting>
  <conditionalFormatting sqref="CB19:CV29 CB31:CV53">
    <cfRule type="expression" dxfId="0" priority="6">
      <formula>AND(CB$17&gt;=$K19,CB$17&lt;=$L19)</formula>
    </cfRule>
  </conditionalFormatting>
  <dataValidations count="1">
    <dataValidation type="list" allowBlank="1" showErrorMessage="1" sqref="H19:H29 H31:H38 H40:H53" xr:uid="{00000000-0002-0000-0100-000000000000}">
      <formula1>"Chiến,Đức,Tài,Bảo"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Hải</cp:lastModifiedBy>
  <dcterms:modified xsi:type="dcterms:W3CDTF">2026-06-30T06:54:13Z</dcterms:modified>
</cp:coreProperties>
</file>