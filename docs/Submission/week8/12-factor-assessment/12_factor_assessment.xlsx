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e\Project\AIoT\outputs\12factor_assessment\"/>
    </mc:Choice>
  </mc:AlternateContent>
  <xr:revisionPtr revIDLastSave="0" documentId="13_ncr:1_{71985C70-7176-4E6B-B543-24179F05183D}" xr6:coauthVersionLast="47" xr6:coauthVersionMax="47" xr10:uidLastSave="{00000000-0000-0000-0000-000000000000}"/>
  <bookViews>
    <workbookView xWindow="-108" yWindow="-108" windowWidth="23256" windowHeight="12456" xr2:uid="{00000000-000D-0000-FFFF-FFFF00000000}"/>
  </bookViews>
  <sheets>
    <sheet name="Chấm điểm 12-Fac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E4" i="1"/>
  <c r="E3" i="1"/>
  <c r="L3" i="1" s="1"/>
  <c r="M20" i="1"/>
  <c r="G20" i="1"/>
  <c r="H20" i="1" s="1"/>
  <c r="M19" i="1"/>
  <c r="G19" i="1"/>
  <c r="H19" i="1" s="1"/>
  <c r="M18" i="1"/>
  <c r="G18" i="1"/>
  <c r="H18" i="1" s="1"/>
  <c r="M17" i="1"/>
  <c r="G17" i="1"/>
  <c r="H17" i="1" s="1"/>
  <c r="M16" i="1"/>
  <c r="G16" i="1"/>
  <c r="H16" i="1" s="1"/>
  <c r="M15" i="1"/>
  <c r="G15" i="1"/>
  <c r="H15" i="1" s="1"/>
  <c r="M14" i="1"/>
  <c r="G14" i="1"/>
  <c r="H14" i="1" s="1"/>
  <c r="M13" i="1"/>
  <c r="G13" i="1"/>
  <c r="H13" i="1" s="1"/>
  <c r="M12" i="1"/>
  <c r="G12" i="1"/>
  <c r="H12" i="1" s="1"/>
  <c r="M11" i="1"/>
  <c r="G11" i="1"/>
  <c r="H11" i="1" s="1"/>
  <c r="M10" i="1"/>
  <c r="G10" i="1"/>
  <c r="H10" i="1" s="1"/>
  <c r="M9" i="1"/>
  <c r="G9" i="1"/>
  <c r="H9" i="1" s="1"/>
  <c r="L4" i="1" l="1"/>
</calcChain>
</file>

<file path=xl/sharedStrings.xml><?xml version="1.0" encoding="utf-8"?>
<sst xmlns="http://schemas.openxmlformats.org/spreadsheetml/2006/main" count="108" uniqueCount="95">
  <si>
    <t>ĐÁNH GIÁ 12-FACTOR APP — AIoT-SERVER &amp; AIoT-HARDWARE</t>
  </si>
  <si>
    <t>Đánh giá tại thời điểm 2026-08-01 • Thang 0–10: 0–2 chưa có; 3–4 sơ khởi; 5–6 một phần; 7–8 đạt phần lớn; 9–10 đạt vững. Score hệ thống = trung bình Server và Hardware; riêng Hardware có các yếu tố áp dụng hạn chế do là firmware embedded.</t>
  </si>
  <si>
    <t>Điểm hệ thống (tự chấm)</t>
  </si>
  <si>
    <t>Tổng nỗ lực (ngày công)</t>
  </si>
  <si>
    <t>Kết luận tự chấm</t>
  </si>
  <si>
    <t>Ước lượng là effort khắc phục để đạt mức vận hành tốt (≈8/10), không phải cam kết lịch; giả định 1 kỹ sư đã nắm code và có quyền hạ tầng. Các hạng mục có thể làm song song; tổng ngày công không bằng thời gian lịch. Nguồn chuẩn: https://12factor.net/</t>
  </si>
  <si>
    <t>Factor</t>
  </si>
  <si>
    <t>Tên factor</t>
  </si>
  <si>
    <t>Mô tả tiếng Việt</t>
  </si>
  <si>
    <t>Tiêu chí chấm</t>
  </si>
  <si>
    <t>AIoT-Server
(0–10)</t>
  </si>
  <si>
    <t>AIoT-Hardware
(0–10)</t>
  </si>
  <si>
    <t>Điểm hệ thống
(0–10)</t>
  </si>
  <si>
    <t>Đã tuân thủ?</t>
  </si>
  <si>
    <t>Bằng chứng đã kiểm tra</t>
  </si>
  <si>
    <t>Khoảng trống / việc cần làm</t>
  </si>
  <si>
    <t>Ước lượng
(ngày công)</t>
  </si>
  <si>
    <t>Bạn chấm
(0–10)</t>
  </si>
  <si>
    <t>Bạn xác nhận</t>
  </si>
  <si>
    <t>Nguồn chuẩn</t>
  </si>
  <si>
    <t>I</t>
  </si>
  <si>
    <t>Codebase — Một codebase</t>
  </si>
  <si>
    <t>Một ứng dụng có một codebase được quản lý bằng hệ thống kiểm soát phiên bản; có thể triển khai nhiều môi trường từ đó.</t>
  </si>
  <si>
    <t>Git repo riêng cho Server và Hardware; cần phát hành/phiên bản phối hợp cho toàn hệ thống.</t>
  </si>
  <si>
    <t>AIoT-Server/.git; AIoT-Hardware/.git; README hai repo.</t>
  </si>
  <si>
    <t>Chưa có release manifest/tag liên repo để truy vết một bản hệ thống.</t>
  </si>
  <si>
    <t>https://12factor.net/</t>
  </si>
  <si>
    <t>II</t>
  </si>
  <si>
    <t>Dependencies — Phụ thuộc</t>
  </si>
  <si>
    <t>Khai báo tường minh và cô lập mọi thư viện/phụ thuộc; không dựa vào phần mềm cài sẵn ngoài ý muốn.</t>
  </si>
  <si>
    <t>Có lockfile/manifest, môi trường build tái lập và cô lập phụ thuộc.</t>
  </si>
  <si>
    <t>Server: requirements.txt + Dockerfile. Hardware: Smart Device/platformio.ini với lib_deps có version.</t>
  </si>
  <si>
    <t>Python requirements chưa có lockfile/hashes; chưa có build được kiểm chứng tự động.</t>
  </si>
  <si>
    <t>III</t>
  </si>
  <si>
    <t>Config — Cấu hình</t>
  </si>
  <si>
    <t>Tách cấu hình khác nhau giữa môi trường (khóa, URL, port…) khỏi mã nguồn; đưa vào biến môi trường/secret store.</t>
  </si>
  <si>
    <t>Không có secret hay endpoint môi trường trong code; cấu hình đổi được khi deploy/provision.</t>
  </si>
  <si>
    <t>Server: app/config.py dùng BaseSettings, .env.example, .gitignore. Hardware: provisioning portal, NVS trong hal/network_manager.cpp.</t>
  </si>
  <si>
    <t>Server còn default SQLite/CORS trong code; Hardware lưu Wi‑Fi/token dạng rõ trong NVS, AP password hard-code, không có secret/config contract.</t>
  </si>
  <si>
    <t>IV</t>
  </si>
  <si>
    <t>Backing services — Dịch vụ hậu phương</t>
  </si>
  <si>
    <t>CSDL, storage, API bên thứ ba được coi là tài nguyên gắn ngoài; có thể thay đổi endpoint/cấu hình mà không sửa code.</t>
  </si>
  <si>
    <t>Database, storage, AI API, media endpoint được gắn qua cấu hình và có kiểm tra kết nối/failure mode.</t>
  </si>
  <si>
    <t>Server: Supabase PostgreSQL/Storage, Gemini/Groq trong .env.example; docs/deployment/SUPABASE_DEPLOYMENT.md. Hardware: server URL provisioning + EdgeApiClient.</t>
  </si>
  <si>
    <t>Server còn mount media cục bộ (/media); Hardware phụ thuộc URL HTTP và không có abstraction/health contract rõ cho dịch vụ cloud.</t>
  </si>
  <si>
    <t>V</t>
  </si>
  <si>
    <t>Build, release, run — Xây dựng/phát hành/chạy</t>
  </si>
  <si>
    <t>Tách chặt build, release (artifact + config) và run; release bất biến, có thể truy vết/rollback.</t>
  </si>
  <si>
    <t>CI tạo artifact có version; migration chạy theo release; run không tự build hay tự thay đổi schema.</t>
  </si>
  <si>
    <t>Server: Dockerfile, docker-compose.yml, Vercel guide; Hardware: PlatformIO build/upload hướng dẫn trong README.</t>
  </si>
  <si>
    <t>Không có CI/CD, artifact version/registry, staging/rollback; compose chạy alembic khi start; firmware upload thủ công.</t>
  </si>
  <si>
    <t>VI</t>
  </si>
  <si>
    <t>Processes — Tiến trình</t>
  </si>
  <si>
    <t>Chạy ứng dụng bằng tiến trình stateless; dữ liệu bền vững phải ở backing service, không giữ trên filesystem/bộ nhớ cục bộ của process.</t>
  </si>
  <si>
    <t>API process không phụ thuộc file/state cục bộ; state cần thiết được externalize rõ ràng.</t>
  </si>
  <si>
    <t>Server: FastAPI + PostgreSQL/Supabase; app/main.py mount media-dataset cục bộ. Hardware: NVS/SPIFFS giữ Wi‑Fi, token, emotion và audio.</t>
  </si>
  <si>
    <t>Server cần tách media/model/cache cục bộ. Hardware vốn cần state cục bộ (embedded/offline), nên chỉ có thể thu hẹp, mã hóa và ghi rõ ngoại lệ thay vì đạt hoàn toàn.</t>
  </si>
  <si>
    <t>VII</t>
  </si>
  <si>
    <t>Port binding — Gắn cổng</t>
  </si>
  <si>
    <t>Dịch vụ tự xuất bản qua port binding, không cần runtime web server bên ngoài để bọc ứng dụng.</t>
  </si>
  <si>
    <t>Server tự nghe port được cấu hình; interface dịch vụ được mô tả và kiểm thử.</t>
  </si>
  <si>
    <t>Server: uvicorn 0.0.0.0:8000, Dockerfile EXPOSE 8000, Vercel deploy. Hardware: WebServer:80 chỉ cho provisioning.</t>
  </si>
  <si>
    <t>Server đạt tốt; firmware là client/thiết bị, không phải SaaS nên factor này áp dụng hạn chế. Cần ghi scope/N/A cho firmware và health contract cho API.</t>
  </si>
  <si>
    <t>VIII</t>
  </si>
  <si>
    <t>Concurrency — Đồng thời</t>
  </si>
  <si>
    <t>Mở rộng bằng cách tăng số tiến trình/instance theo process model thay vì nhồi thêm state vào một instance.</t>
  </si>
  <si>
    <t>Có chiến lược scale-out đã kiểm thử, giới hạn tài nguyên và xử lý workload nặng/tác vụ nền.</t>
  </si>
  <si>
    <t>Server: hướng dẫn Vercel; FastAPI process; Supabase managed. Hardware: mỗi ESP32 là một node vật lý.</t>
  </si>
  <si>
    <t>Không có benchmark, worker/queue, autoscaling hay giới hạn concurrency; Whisper/ffmpeg và media local có thể chặn scale-out. Firmware không scale theo process model (chỉ scale theo fleet).</t>
  </si>
  <si>
    <t>IX</t>
  </si>
  <si>
    <t>Disposability — Khởi tạo/kết thúc</t>
  </si>
  <si>
    <t>Khởi động nhanh, xử lý shutdown êm và chống lỗi để deploy/scale/restart an toàn.</t>
  </si>
  <si>
    <t>Có readiness/liveness, timeout/retry/backoff, shutdown/cleanup được kiểm thử.</t>
  </si>
  <si>
    <t>Server: FastAPI lifespan, Docker restart policy; Hardware: reconnect 15 giây, provisioning fallback, restart khi demo lỗi.</t>
  </si>
  <si>
    <t>Server chưa có health/readiness endpoint chuyên dụng và shutdown test; firmware có nhiều call blocking/delay, chưa có watchdog/telemetry khởi động có cấu trúc.</t>
  </si>
  <si>
    <t>X</t>
  </si>
  <si>
    <t>Dev/prod parity — Tương đồng dev/prod</t>
  </si>
  <si>
    <t>Giữ development, staging và production gần nhau về dịch vụ, dữ liệu và quy trình triển khai.</t>
  </si>
  <si>
    <t>Có staging, environment matrix, config độc lập và kiểm thử release tương tự production.</t>
  </si>
  <si>
    <t>Server: Docker Compose PostgreSQL local so với Vercel + Supabase production; docs deployment. Hardware: test LAN qua provisioning URL/manual device.</t>
  </si>
  <si>
    <t>Không thấy staging, CI environment matrix hay test hardware-in-the-loop; local media/HTTP LAN khác cloud HTTPS/Supabase.</t>
  </si>
  <si>
    <t>XI</t>
  </si>
  <si>
    <t>Logs — Nhật ký</t>
  </si>
  <si>
    <t>Xem log như luồng sự kiện, ghi ra stdout/serial và để nền tảng thu thập, tập trung, truy vấn và cảnh báo.</t>
  </si>
  <si>
    <t>Log nhất quán, có correlation ID/redaction; collector/retention/alert ở nền tảng.</t>
  </si>
  <si>
    <t>Server: logger uvicorn.error trong main/router/service. Hardware: Serial.printf/println có prefix trong src/.</t>
  </si>
  <si>
    <t>Chưa có structured logging, trace/correlation ID, redaction chuẩn, log collector/retention/alert; firmware log có thể để lộ URL/trạng thái pairing.</t>
  </si>
  <si>
    <t>XII</t>
  </si>
  <si>
    <t>Admin processes — Tác vụ quản trị</t>
  </si>
  <si>
    <t>Chạy migration, seed, import, maintenance như tiến trình one-off trong cùng release/environment, có audit và bảo vệ.</t>
  </si>
  <si>
    <t>Lệnh admin tái lập, có tài liệu, kiểm soát quyền và không được nhúng vào startup production.</t>
  </si>
  <si>
    <t>Server: alembic upgrade head, python -m app.seed, scripts/upload_media_dataset.py trong README/docs. Hardware: build/upload/serial commands thủ công.</t>
  </si>
  <si>
    <t>Server thiếu release job/audit/role separation và còn migration khi container khởi động. Hardware chưa có tool quản trị fleet/provisioning/OTA.</t>
  </si>
  <si>
    <t>Lưu ý phương pháp: 12-Factor được thiết kế cho SaaS; vì vậy các factor VI–VIII và XII không thể áp nguyên xi cho firmware ESP32. Điểm Hardware phản ánh mức áp dụng phù hợp (cấu hình, state tối thiểu, provisioning, khả năng vận hành fleet), không phạt vì những ràng buộc vật lý không thể loại bỏ.</t>
  </si>
  <si>
    <t>Điểm cá nhân chấm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</si>
</sst>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rlito"/>
    </font>
    <font>
      <b/>
      <sz val="16"/>
      <color rgb="FFFFFFFF"/>
      <name val="Carlito"/>
    </font>
    <font>
      <i/>
      <sz val="10"/>
      <color rgb="FF1F2937"/>
      <name val="Carlito"/>
    </font>
    <font>
      <b/>
      <sz val="11"/>
      <color rgb="FF17365D"/>
      <name val="Carlito"/>
    </font>
    <font>
      <i/>
      <sz val="11"/>
      <color rgb="FF7F6000"/>
      <name val="Carlito"/>
    </font>
    <font>
      <b/>
      <sz val="11"/>
      <color rgb="FFFFFFFF"/>
      <name val="Carlito"/>
    </font>
    <font>
      <i/>
      <sz val="11"/>
      <color rgb="FF4B5563"/>
      <name val="Carlito"/>
    </font>
    <font>
      <b/>
      <sz val="14"/>
      <color rgb="FF17365D"/>
      <name val="Carlito"/>
    </font>
    <font>
      <b/>
      <sz val="11"/>
      <color rgb="FF17365D"/>
      <name val="Times New Roman"/>
      <family val="1"/>
      <charset val="163"/>
    </font>
    <font>
      <b/>
      <sz val="11"/>
      <color rgb="FF1F2937"/>
      <name val="Times New Roman"/>
      <family val="1"/>
      <charset val="163"/>
    </font>
    <font>
      <sz val="11"/>
      <name val="Times New Roman"/>
      <family val="1"/>
      <charset val="163"/>
    </font>
  </fonts>
  <fills count="9">
    <fill>
      <patternFill patternType="none"/>
    </fill>
    <fill>
      <patternFill patternType="gray125"/>
    </fill>
    <fill>
      <patternFill patternType="solid">
        <fgColor rgb="FF17365D"/>
      </patternFill>
    </fill>
    <fill>
      <patternFill patternType="solid">
        <fgColor rgb="FFD9EAF7"/>
      </patternFill>
    </fill>
    <fill>
      <patternFill patternType="solid">
        <fgColor rgb="FFEAF2F8"/>
      </patternFill>
    </fill>
    <fill>
      <patternFill patternType="solid">
        <fgColor rgb="FFFFF2CC"/>
      </patternFill>
    </fill>
    <fill>
      <patternFill patternType="solid">
        <fgColor rgb="FF1F4E78"/>
      </patternFill>
    </fill>
    <fill>
      <patternFill patternType="solid">
        <fgColor rgb="FFF3F6F9"/>
      </patternFill>
    </fill>
    <fill>
      <patternFill patternType="solid">
        <fgColor rgb="FFDDEBF7"/>
      </patternFill>
    </fill>
  </fills>
  <borders count="6">
    <border>
      <left/>
      <right/>
      <top/>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top style="thin">
        <color rgb="FFD9E2F3"/>
      </top>
      <bottom style="thin">
        <color rgb="FFD9E2F3"/>
      </bottom>
      <diagonal/>
    </border>
    <border>
      <left style="thin">
        <color rgb="FF9FBAD0"/>
      </left>
      <right style="thin">
        <color rgb="FF9FBAD0"/>
      </right>
      <top style="thin">
        <color rgb="FF9FBAD0"/>
      </top>
      <bottom style="thin">
        <color rgb="FF9FBAD0"/>
      </bottom>
      <diagonal/>
    </border>
  </borders>
  <cellStyleXfs count="1">
    <xf numFmtId="0" fontId="0" fillId="0" borderId="0"/>
  </cellStyleXfs>
  <cellXfs count="18">
    <xf numFmtId="0" fontId="0" fillId="0" borderId="0" xfId="0"/>
    <xf numFmtId="164" fontId="7" fillId="8" borderId="0" xfId="0" applyNumberFormat="1" applyFont="1" applyFill="1" applyAlignment="1">
      <alignment horizontal="center" vertical="center"/>
    </xf>
    <xf numFmtId="0" fontId="5" fillId="6" borderId="5"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0" xfId="0" applyFont="1" applyFill="1" applyAlignment="1">
      <alignment vertical="center"/>
    </xf>
    <xf numFmtId="0" fontId="3" fillId="8" borderId="0" xfId="0" applyFont="1" applyFill="1" applyAlignment="1">
      <alignment horizontal="center" vertical="center"/>
    </xf>
    <xf numFmtId="0" fontId="4" fillId="5" borderId="0" xfId="0" applyFont="1" applyFill="1" applyAlignment="1">
      <alignment vertical="center" wrapText="1"/>
    </xf>
    <xf numFmtId="0" fontId="6" fillId="7" borderId="3" xfId="0" applyFont="1" applyFill="1" applyBorder="1" applyAlignment="1">
      <alignment vertical="center" wrapText="1"/>
    </xf>
    <xf numFmtId="0" fontId="6" fillId="7" borderId="4" xfId="0" applyFont="1" applyFill="1" applyBorder="1" applyAlignment="1">
      <alignment vertical="center" wrapText="1"/>
    </xf>
    <xf numFmtId="0" fontId="6" fillId="7" borderId="1" xfId="0" applyFont="1" applyFill="1" applyBorder="1" applyAlignment="1">
      <alignment vertical="center" wrapText="1"/>
    </xf>
    <xf numFmtId="0" fontId="8" fillId="0" borderId="2" xfId="0" applyFont="1" applyBorder="1" applyAlignment="1">
      <alignment horizontal="center" vertical="top" wrapText="1"/>
    </xf>
    <xf numFmtId="0" fontId="9" fillId="0" borderId="2" xfId="0" applyFont="1" applyBorder="1" applyAlignment="1">
      <alignment vertical="top" wrapText="1"/>
    </xf>
    <xf numFmtId="0" fontId="10" fillId="0" borderId="2" xfId="0" applyFont="1" applyBorder="1" applyAlignment="1">
      <alignment vertical="top" wrapText="1"/>
    </xf>
    <xf numFmtId="164" fontId="10" fillId="0" borderId="2" xfId="0" applyNumberFormat="1" applyFont="1" applyBorder="1" applyAlignment="1">
      <alignment horizontal="center" vertical="top" wrapText="1"/>
    </xf>
    <xf numFmtId="0" fontId="10" fillId="0" borderId="2" xfId="0" applyFont="1" applyBorder="1" applyAlignment="1">
      <alignment horizontal="center" vertical="top" wrapText="1"/>
    </xf>
    <xf numFmtId="164" fontId="10" fillId="5" borderId="2" xfId="0" applyNumberFormat="1" applyFont="1" applyFill="1" applyBorder="1" applyAlignment="1">
      <alignment horizontal="center" vertical="top" wrapText="1"/>
    </xf>
    <xf numFmtId="0" fontId="10" fillId="5" borderId="2" xfId="0" applyFont="1" applyFill="1" applyBorder="1" applyAlignment="1">
      <alignment horizontal="center" vertical="top" wrapText="1"/>
    </xf>
  </cellXfs>
  <cellStyles count="1">
    <cellStyle name="Normal" xfId="0" builtinId="0"/>
  </cellStyles>
  <dxfs count="19">
    <dxf>
      <font>
        <b/>
        <color rgb="FF375623"/>
      </font>
      <fill>
        <patternFill patternType="solid">
          <bgColor rgb="FFE2F0D9"/>
        </patternFill>
      </fill>
    </dxf>
    <dxf>
      <font>
        <b/>
        <color rgb="FFC00000"/>
      </font>
      <fill>
        <patternFill patternType="solid">
          <bgColor rgb="FFFCE4D6"/>
        </patternFill>
      </fill>
    </dxf>
    <dxf>
      <font>
        <b/>
        <color rgb="FF375623"/>
      </font>
      <fill>
        <patternFill patternType="solid">
          <bgColor rgb="FFE2F0D9"/>
        </patternFill>
      </fill>
    </dxf>
    <dxf>
      <font>
        <b/>
        <color rgb="FFC00000"/>
      </font>
      <fill>
        <patternFill patternType="solid">
          <bgColor rgb="FFFCE4D6"/>
        </patternFill>
      </fill>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
      <font>
        <strike val="0"/>
        <outline val="0"/>
        <shadow val="0"/>
        <u val="none"/>
        <vertAlign val="baseline"/>
        <sz val="11"/>
        <name val="Times New Roman"/>
        <family val="1"/>
        <charset val="163"/>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orAssessmentTable" displayName="FactorAssessmentTable" ref="A8:N20" totalsRowShown="0" dataDxfId="4">
  <tableColumns count="14">
    <tableColumn id="1" xr3:uid="{00000000-0010-0000-0000-000001000000}" name="Factor" dataDxfId="18"/>
    <tableColumn id="2" xr3:uid="{00000000-0010-0000-0000-000002000000}" name="Tên factor" dataDxfId="17"/>
    <tableColumn id="3" xr3:uid="{00000000-0010-0000-0000-000003000000}" name="Mô tả tiếng Việt" dataDxfId="16"/>
    <tableColumn id="4" xr3:uid="{00000000-0010-0000-0000-000004000000}" name="Tiêu chí chấm" dataDxfId="15"/>
    <tableColumn id="5" xr3:uid="{00000000-0010-0000-0000-000005000000}" name="AIoT-Server_x000a_(0–10)" dataDxfId="14"/>
    <tableColumn id="6" xr3:uid="{00000000-0010-0000-0000-000006000000}" name="AIoT-Hardware_x000a_(0–10)" dataDxfId="13"/>
    <tableColumn id="7" xr3:uid="{00000000-0010-0000-0000-000007000000}" name="Điểm hệ thống_x000a_(0–10)" dataDxfId="12"/>
    <tableColumn id="8" xr3:uid="{00000000-0010-0000-0000-000008000000}" name="Đã tuân thủ?" dataDxfId="11"/>
    <tableColumn id="9" xr3:uid="{00000000-0010-0000-0000-000009000000}" name="Bằng chứng đã kiểm tra" dataDxfId="10"/>
    <tableColumn id="10" xr3:uid="{00000000-0010-0000-0000-00000A000000}" name="Khoảng trống / việc cần làm" dataDxfId="9"/>
    <tableColumn id="11" xr3:uid="{00000000-0010-0000-0000-00000B000000}" name="Ước lượng_x000a_(ngày công)" dataDxfId="8"/>
    <tableColumn id="12" xr3:uid="{00000000-0010-0000-0000-00000C000000}" name="Bạn chấm_x000a_(0–10)" dataDxfId="7"/>
    <tableColumn id="13" xr3:uid="{00000000-0010-0000-0000-00000D000000}" name="Bạn xác nhận" dataDxfId="6"/>
    <tableColumn id="14" xr3:uid="{00000000-0010-0000-0000-00000E000000}" name="Nguồn chuẩn" dataDxfId="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showGridLines="0" tabSelected="1" topLeftCell="E1" workbookViewId="0">
      <selection activeCell="I4" sqref="I4"/>
    </sheetView>
  </sheetViews>
  <sheetFormatPr defaultRowHeight="13.8"/>
  <cols>
    <col min="1" max="1" width="8" customWidth="1"/>
    <col min="2" max="2" width="25" customWidth="1"/>
    <col min="3" max="3" width="45" customWidth="1"/>
    <col min="4" max="4" width="34" customWidth="1"/>
    <col min="5" max="5" width="13" customWidth="1"/>
    <col min="6" max="7" width="14" customWidth="1"/>
    <col min="8" max="8" width="18" customWidth="1"/>
    <col min="9" max="9" width="40" customWidth="1"/>
    <col min="10" max="10" width="47" customWidth="1"/>
    <col min="11" max="11" width="13" customWidth="1"/>
    <col min="12" max="12" width="12" customWidth="1"/>
    <col min="13" max="13" width="18" customWidth="1"/>
    <col min="14" max="14" width="24" customWidth="1"/>
  </cols>
  <sheetData>
    <row r="1" spans="1:14" ht="28.05" customHeight="1">
      <c r="A1" s="3" t="s">
        <v>0</v>
      </c>
      <c r="B1" s="3"/>
      <c r="C1" s="3"/>
      <c r="D1" s="3"/>
      <c r="E1" s="3"/>
      <c r="F1" s="3"/>
      <c r="G1" s="3"/>
      <c r="H1" s="3"/>
      <c r="I1" s="3"/>
      <c r="J1" s="3"/>
      <c r="K1" s="3"/>
      <c r="L1" s="3"/>
      <c r="M1" s="3"/>
      <c r="N1" s="3"/>
    </row>
    <row r="2" spans="1:14" ht="37.950000000000003" customHeight="1">
      <c r="A2" s="4" t="s">
        <v>1</v>
      </c>
      <c r="B2" s="4"/>
      <c r="C2" s="4"/>
      <c r="D2" s="4"/>
      <c r="E2" s="4"/>
      <c r="F2" s="4"/>
      <c r="G2" s="4"/>
      <c r="H2" s="4"/>
      <c r="I2" s="4"/>
      <c r="J2" s="4"/>
      <c r="K2" s="4"/>
      <c r="L2" s="4"/>
      <c r="M2" s="4"/>
      <c r="N2" s="4"/>
    </row>
    <row r="3" spans="1:14" ht="17.399999999999999">
      <c r="A3" s="5" t="s">
        <v>2</v>
      </c>
      <c r="B3" s="5"/>
      <c r="C3" s="5"/>
      <c r="D3" s="5"/>
      <c r="E3" s="1">
        <f>AVERAGE(G9:G20)</f>
        <v>4.916666666666667</v>
      </c>
      <c r="F3" s="5" t="s">
        <v>3</v>
      </c>
      <c r="G3" s="5"/>
      <c r="H3" s="5"/>
      <c r="I3" s="1">
        <f>SUM(K9:K20)</f>
        <v>40.5</v>
      </c>
      <c r="J3" s="5" t="s">
        <v>4</v>
      </c>
      <c r="K3" s="5"/>
      <c r="L3" s="6" t="str">
        <f>IF(E3&gt;=8,"Đạt phần lớn",IF(E3&gt;=5,"Tuân thủ một phần","Chưa đạt"))</f>
        <v>Chưa đạt</v>
      </c>
      <c r="M3" s="5"/>
      <c r="N3" s="5"/>
    </row>
    <row r="4" spans="1:14" ht="25.95" customHeight="1">
      <c r="A4" s="5" t="s">
        <v>94</v>
      </c>
      <c r="B4" s="5"/>
      <c r="C4" s="5"/>
      <c r="D4" s="5"/>
      <c r="E4" s="1">
        <f>AVERAGE(L9:L20)</f>
        <v>5.458333333333333</v>
      </c>
      <c r="F4" s="5" t="s">
        <v>3</v>
      </c>
      <c r="G4" s="5"/>
      <c r="H4" s="5"/>
      <c r="I4" s="1">
        <v>30</v>
      </c>
      <c r="J4" s="5" t="s">
        <v>4</v>
      </c>
      <c r="K4" s="5"/>
      <c r="L4" s="6" t="str">
        <f>IF(E4&gt;=8,"Đạt phần lớn",IF(E4&gt;=5,"Tuân thủ một phần","Chưa đạt"))</f>
        <v>Tuân thủ một phần</v>
      </c>
      <c r="M4" s="5"/>
      <c r="N4" s="5"/>
    </row>
    <row r="5" spans="1:14" ht="34.049999999999997" customHeight="1">
      <c r="A5" s="7" t="s">
        <v>5</v>
      </c>
      <c r="B5" s="7"/>
      <c r="C5" s="7"/>
      <c r="D5" s="7"/>
      <c r="E5" s="7"/>
      <c r="F5" s="7"/>
      <c r="G5" s="7"/>
      <c r="H5" s="7"/>
      <c r="I5" s="7"/>
      <c r="J5" s="7"/>
      <c r="K5" s="7"/>
      <c r="L5" s="7"/>
      <c r="M5" s="7"/>
      <c r="N5" s="7"/>
    </row>
    <row r="8" spans="1:14" ht="42" customHeight="1">
      <c r="A8" s="2" t="s">
        <v>6</v>
      </c>
      <c r="B8" s="2" t="s">
        <v>7</v>
      </c>
      <c r="C8" s="2" t="s">
        <v>8</v>
      </c>
      <c r="D8" s="2" t="s">
        <v>9</v>
      </c>
      <c r="E8" s="2" t="s">
        <v>10</v>
      </c>
      <c r="F8" s="2" t="s">
        <v>11</v>
      </c>
      <c r="G8" s="2" t="s">
        <v>12</v>
      </c>
      <c r="H8" s="2" t="s">
        <v>13</v>
      </c>
      <c r="I8" s="2" t="s">
        <v>14</v>
      </c>
      <c r="J8" s="2" t="s">
        <v>15</v>
      </c>
      <c r="K8" s="2" t="s">
        <v>16</v>
      </c>
      <c r="L8" s="2" t="s">
        <v>17</v>
      </c>
      <c r="M8" s="2" t="s">
        <v>18</v>
      </c>
      <c r="N8" s="2" t="s">
        <v>19</v>
      </c>
    </row>
    <row r="9" spans="1:14" ht="91.95" customHeight="1">
      <c r="A9" s="11" t="s">
        <v>20</v>
      </c>
      <c r="B9" s="12" t="s">
        <v>21</v>
      </c>
      <c r="C9" s="13" t="s">
        <v>22</v>
      </c>
      <c r="D9" s="13" t="s">
        <v>23</v>
      </c>
      <c r="E9" s="14">
        <v>8</v>
      </c>
      <c r="F9" s="14">
        <v>7</v>
      </c>
      <c r="G9" s="14">
        <f t="shared" ref="G9:G20" si="0">AVERAGE(E9:F9)</f>
        <v>7.5</v>
      </c>
      <c r="H9" s="15" t="str">
        <f t="shared" ref="H9:H20" si="1">IF(G9&gt;=8,"Đạt phần lớn",IF(G9&gt;=5,"Tuân thủ một phần","Chưa đạt"))</f>
        <v>Tuân thủ một phần</v>
      </c>
      <c r="I9" s="13" t="s">
        <v>24</v>
      </c>
      <c r="J9" s="13" t="s">
        <v>25</v>
      </c>
      <c r="K9" s="14">
        <v>1.5</v>
      </c>
      <c r="L9" s="16">
        <v>8.5</v>
      </c>
      <c r="M9" s="17" t="str">
        <f t="shared" ref="M9:M20" si="2">IF(L9="","Chưa chấm",IF(L9&gt;=8,"Đạt phần lớn",IF(L9&gt;=5,"Tuân thủ một phần","Chưa đạt")))</f>
        <v>Đạt phần lớn</v>
      </c>
      <c r="N9" s="13" t="s">
        <v>26</v>
      </c>
    </row>
    <row r="10" spans="1:14" ht="91.95" customHeight="1">
      <c r="A10" s="11" t="s">
        <v>27</v>
      </c>
      <c r="B10" s="12" t="s">
        <v>28</v>
      </c>
      <c r="C10" s="13" t="s">
        <v>29</v>
      </c>
      <c r="D10" s="13" t="s">
        <v>30</v>
      </c>
      <c r="E10" s="14">
        <v>8</v>
      </c>
      <c r="F10" s="14">
        <v>8</v>
      </c>
      <c r="G10" s="14">
        <f t="shared" si="0"/>
        <v>8</v>
      </c>
      <c r="H10" s="15" t="str">
        <f t="shared" si="1"/>
        <v>Đạt phần lớn</v>
      </c>
      <c r="I10" s="13" t="s">
        <v>31</v>
      </c>
      <c r="J10" s="13" t="s">
        <v>32</v>
      </c>
      <c r="K10" s="14">
        <v>2</v>
      </c>
      <c r="L10" s="16">
        <v>9</v>
      </c>
      <c r="M10" s="17" t="str">
        <f t="shared" si="2"/>
        <v>Đạt phần lớn</v>
      </c>
      <c r="N10" s="13" t="s">
        <v>26</v>
      </c>
    </row>
    <row r="11" spans="1:14" ht="91.95" customHeight="1">
      <c r="A11" s="11" t="s">
        <v>33</v>
      </c>
      <c r="B11" s="12" t="s">
        <v>34</v>
      </c>
      <c r="C11" s="13" t="s">
        <v>35</v>
      </c>
      <c r="D11" s="13" t="s">
        <v>36</v>
      </c>
      <c r="E11" s="14">
        <v>7</v>
      </c>
      <c r="F11" s="14">
        <v>4</v>
      </c>
      <c r="G11" s="14">
        <f t="shared" si="0"/>
        <v>5.5</v>
      </c>
      <c r="H11" s="15" t="str">
        <f t="shared" si="1"/>
        <v>Tuân thủ một phần</v>
      </c>
      <c r="I11" s="13" t="s">
        <v>37</v>
      </c>
      <c r="J11" s="13" t="s">
        <v>38</v>
      </c>
      <c r="K11" s="14">
        <v>3</v>
      </c>
      <c r="L11" s="16">
        <v>5.5</v>
      </c>
      <c r="M11" s="17" t="str">
        <f t="shared" si="2"/>
        <v>Tuân thủ một phần</v>
      </c>
      <c r="N11" s="13" t="s">
        <v>26</v>
      </c>
    </row>
    <row r="12" spans="1:14" ht="91.95" customHeight="1">
      <c r="A12" s="11" t="s">
        <v>39</v>
      </c>
      <c r="B12" s="12" t="s">
        <v>40</v>
      </c>
      <c r="C12" s="13" t="s">
        <v>41</v>
      </c>
      <c r="D12" s="13" t="s">
        <v>42</v>
      </c>
      <c r="E12" s="14">
        <v>7</v>
      </c>
      <c r="F12" s="14">
        <v>5</v>
      </c>
      <c r="G12" s="14">
        <f t="shared" si="0"/>
        <v>6</v>
      </c>
      <c r="H12" s="15" t="str">
        <f t="shared" si="1"/>
        <v>Tuân thủ một phần</v>
      </c>
      <c r="I12" s="13" t="s">
        <v>43</v>
      </c>
      <c r="J12" s="13" t="s">
        <v>44</v>
      </c>
      <c r="K12" s="14">
        <v>2</v>
      </c>
      <c r="L12" s="16">
        <v>6.5</v>
      </c>
      <c r="M12" s="17" t="str">
        <f t="shared" si="2"/>
        <v>Tuân thủ một phần</v>
      </c>
      <c r="N12" s="13" t="s">
        <v>26</v>
      </c>
    </row>
    <row r="13" spans="1:14" ht="91.95" customHeight="1">
      <c r="A13" s="11" t="s">
        <v>45</v>
      </c>
      <c r="B13" s="12" t="s">
        <v>46</v>
      </c>
      <c r="C13" s="13" t="s">
        <v>47</v>
      </c>
      <c r="D13" s="13" t="s">
        <v>48</v>
      </c>
      <c r="E13" s="14">
        <v>4</v>
      </c>
      <c r="F13" s="14">
        <v>3</v>
      </c>
      <c r="G13" s="14">
        <f t="shared" si="0"/>
        <v>3.5</v>
      </c>
      <c r="H13" s="15" t="str">
        <f t="shared" si="1"/>
        <v>Chưa đạt</v>
      </c>
      <c r="I13" s="13" t="s">
        <v>49</v>
      </c>
      <c r="J13" s="13" t="s">
        <v>50</v>
      </c>
      <c r="K13" s="14">
        <v>5</v>
      </c>
      <c r="L13" s="16">
        <v>3.5</v>
      </c>
      <c r="M13" s="17" t="str">
        <f t="shared" si="2"/>
        <v>Chưa đạt</v>
      </c>
      <c r="N13" s="13" t="s">
        <v>26</v>
      </c>
    </row>
    <row r="14" spans="1:14" ht="91.95" customHeight="1">
      <c r="A14" s="11" t="s">
        <v>51</v>
      </c>
      <c r="B14" s="12" t="s">
        <v>52</v>
      </c>
      <c r="C14" s="13" t="s">
        <v>53</v>
      </c>
      <c r="D14" s="13" t="s">
        <v>54</v>
      </c>
      <c r="E14" s="14">
        <v>5</v>
      </c>
      <c r="F14" s="14">
        <v>2</v>
      </c>
      <c r="G14" s="14">
        <f t="shared" si="0"/>
        <v>3.5</v>
      </c>
      <c r="H14" s="15" t="str">
        <f t="shared" si="1"/>
        <v>Chưa đạt</v>
      </c>
      <c r="I14" s="13" t="s">
        <v>55</v>
      </c>
      <c r="J14" s="13" t="s">
        <v>56</v>
      </c>
      <c r="K14" s="14">
        <v>3</v>
      </c>
      <c r="L14" s="16">
        <v>6.5</v>
      </c>
      <c r="M14" s="17" t="str">
        <f t="shared" si="2"/>
        <v>Tuân thủ một phần</v>
      </c>
      <c r="N14" s="13" t="s">
        <v>26</v>
      </c>
    </row>
    <row r="15" spans="1:14" ht="91.95" customHeight="1">
      <c r="A15" s="11" t="s">
        <v>57</v>
      </c>
      <c r="B15" s="12" t="s">
        <v>58</v>
      </c>
      <c r="C15" s="13" t="s">
        <v>59</v>
      </c>
      <c r="D15" s="13" t="s">
        <v>60</v>
      </c>
      <c r="E15" s="14">
        <v>8</v>
      </c>
      <c r="F15" s="14">
        <v>2</v>
      </c>
      <c r="G15" s="14">
        <f t="shared" si="0"/>
        <v>5</v>
      </c>
      <c r="H15" s="15" t="str">
        <f t="shared" si="1"/>
        <v>Tuân thủ một phần</v>
      </c>
      <c r="I15" s="13" t="s">
        <v>61</v>
      </c>
      <c r="J15" s="13" t="s">
        <v>62</v>
      </c>
      <c r="K15" s="14">
        <v>1</v>
      </c>
      <c r="L15" s="16">
        <v>5</v>
      </c>
      <c r="M15" s="17" t="str">
        <f t="shared" si="2"/>
        <v>Tuân thủ một phần</v>
      </c>
      <c r="N15" s="13" t="s">
        <v>26</v>
      </c>
    </row>
    <row r="16" spans="1:14" ht="91.95" customHeight="1">
      <c r="A16" s="11" t="s">
        <v>63</v>
      </c>
      <c r="B16" s="12" t="s">
        <v>64</v>
      </c>
      <c r="C16" s="13" t="s">
        <v>65</v>
      </c>
      <c r="D16" s="13" t="s">
        <v>66</v>
      </c>
      <c r="E16" s="14">
        <v>3</v>
      </c>
      <c r="F16" s="14">
        <v>1</v>
      </c>
      <c r="G16" s="14">
        <f t="shared" si="0"/>
        <v>2</v>
      </c>
      <c r="H16" s="15" t="str">
        <f t="shared" si="1"/>
        <v>Chưa đạt</v>
      </c>
      <c r="I16" s="13" t="s">
        <v>67</v>
      </c>
      <c r="J16" s="13" t="s">
        <v>68</v>
      </c>
      <c r="K16" s="14">
        <v>8</v>
      </c>
      <c r="L16" s="16">
        <v>2</v>
      </c>
      <c r="M16" s="17" t="str">
        <f t="shared" si="2"/>
        <v>Chưa đạt</v>
      </c>
      <c r="N16" s="13" t="s">
        <v>26</v>
      </c>
    </row>
    <row r="17" spans="1:14" ht="91.95" customHeight="1">
      <c r="A17" s="11" t="s">
        <v>69</v>
      </c>
      <c r="B17" s="12" t="s">
        <v>70</v>
      </c>
      <c r="C17" s="13" t="s">
        <v>71</v>
      </c>
      <c r="D17" s="13" t="s">
        <v>72</v>
      </c>
      <c r="E17" s="14">
        <v>5</v>
      </c>
      <c r="F17" s="14">
        <v>6</v>
      </c>
      <c r="G17" s="14">
        <f t="shared" si="0"/>
        <v>5.5</v>
      </c>
      <c r="H17" s="15" t="str">
        <f t="shared" si="1"/>
        <v>Tuân thủ một phần</v>
      </c>
      <c r="I17" s="13" t="s">
        <v>73</v>
      </c>
      <c r="J17" s="13" t="s">
        <v>74</v>
      </c>
      <c r="K17" s="14">
        <v>3</v>
      </c>
      <c r="L17" s="16">
        <v>6.5</v>
      </c>
      <c r="M17" s="17" t="str">
        <f t="shared" si="2"/>
        <v>Tuân thủ một phần</v>
      </c>
      <c r="N17" s="13" t="s">
        <v>26</v>
      </c>
    </row>
    <row r="18" spans="1:14" ht="91.95" customHeight="1">
      <c r="A18" s="11" t="s">
        <v>75</v>
      </c>
      <c r="B18" s="12" t="s">
        <v>76</v>
      </c>
      <c r="C18" s="13" t="s">
        <v>77</v>
      </c>
      <c r="D18" s="13" t="s">
        <v>78</v>
      </c>
      <c r="E18" s="14">
        <v>5</v>
      </c>
      <c r="F18" s="14">
        <v>3</v>
      </c>
      <c r="G18" s="14">
        <f t="shared" si="0"/>
        <v>4</v>
      </c>
      <c r="H18" s="15" t="str">
        <f t="shared" si="1"/>
        <v>Chưa đạt</v>
      </c>
      <c r="I18" s="13" t="s">
        <v>79</v>
      </c>
      <c r="J18" s="13" t="s">
        <v>80</v>
      </c>
      <c r="K18" s="14">
        <v>5</v>
      </c>
      <c r="L18" s="16">
        <v>4</v>
      </c>
      <c r="M18" s="17" t="str">
        <f t="shared" si="2"/>
        <v>Chưa đạt</v>
      </c>
      <c r="N18" s="13" t="s">
        <v>26</v>
      </c>
    </row>
    <row r="19" spans="1:14" ht="91.95" customHeight="1">
      <c r="A19" s="11" t="s">
        <v>81</v>
      </c>
      <c r="B19" s="12" t="s">
        <v>82</v>
      </c>
      <c r="C19" s="13" t="s">
        <v>83</v>
      </c>
      <c r="D19" s="13" t="s">
        <v>84</v>
      </c>
      <c r="E19" s="14">
        <v>6</v>
      </c>
      <c r="F19" s="14">
        <v>4</v>
      </c>
      <c r="G19" s="14">
        <f t="shared" si="0"/>
        <v>5</v>
      </c>
      <c r="H19" s="15" t="str">
        <f t="shared" si="1"/>
        <v>Tuân thủ một phần</v>
      </c>
      <c r="I19" s="13" t="s">
        <v>85</v>
      </c>
      <c r="J19" s="13" t="s">
        <v>86</v>
      </c>
      <c r="K19" s="14">
        <v>3</v>
      </c>
      <c r="L19" s="16">
        <v>5</v>
      </c>
      <c r="M19" s="17" t="str">
        <f t="shared" si="2"/>
        <v>Tuân thủ một phần</v>
      </c>
      <c r="N19" s="13" t="s">
        <v>26</v>
      </c>
    </row>
    <row r="20" spans="1:14" ht="91.95" customHeight="1">
      <c r="A20" s="11" t="s">
        <v>87</v>
      </c>
      <c r="B20" s="12" t="s">
        <v>88</v>
      </c>
      <c r="C20" s="13" t="s">
        <v>89</v>
      </c>
      <c r="D20" s="13" t="s">
        <v>90</v>
      </c>
      <c r="E20" s="14">
        <v>6</v>
      </c>
      <c r="F20" s="14">
        <v>1</v>
      </c>
      <c r="G20" s="14">
        <f t="shared" si="0"/>
        <v>3.5</v>
      </c>
      <c r="H20" s="15" t="str">
        <f t="shared" si="1"/>
        <v>Chưa đạt</v>
      </c>
      <c r="I20" s="13" t="s">
        <v>91</v>
      </c>
      <c r="J20" s="13" t="s">
        <v>92</v>
      </c>
      <c r="K20" s="14">
        <v>4</v>
      </c>
      <c r="L20" s="16">
        <v>3.5</v>
      </c>
      <c r="M20" s="17" t="str">
        <f t="shared" si="2"/>
        <v>Chưa đạt</v>
      </c>
      <c r="N20" s="13" t="s">
        <v>26</v>
      </c>
    </row>
    <row r="23" spans="1:14" ht="43.95" customHeight="1">
      <c r="A23" s="8" t="s">
        <v>93</v>
      </c>
      <c r="B23" s="9"/>
      <c r="C23" s="9"/>
      <c r="D23" s="9"/>
      <c r="E23" s="9"/>
      <c r="F23" s="9"/>
      <c r="G23" s="9"/>
      <c r="H23" s="9"/>
      <c r="I23" s="9"/>
      <c r="J23" s="9"/>
      <c r="K23" s="9"/>
      <c r="L23" s="9"/>
      <c r="M23" s="9"/>
      <c r="N23" s="10"/>
    </row>
  </sheetData>
  <mergeCells count="12">
    <mergeCell ref="A5:N5"/>
    <mergeCell ref="A23:N23"/>
    <mergeCell ref="A3:D3"/>
    <mergeCell ref="F3:H3"/>
    <mergeCell ref="J3:K3"/>
    <mergeCell ref="L3:N3"/>
    <mergeCell ref="A1:N1"/>
    <mergeCell ref="A2:N2"/>
    <mergeCell ref="A4:D4"/>
    <mergeCell ref="F4:H4"/>
    <mergeCell ref="J4:K4"/>
    <mergeCell ref="L4:N4"/>
  </mergeCells>
  <conditionalFormatting sqref="E9:G20">
    <cfRule type="colorScale" priority="1">
      <colorScale>
        <cfvo type="min"/>
        <cfvo type="percentile" val="50"/>
        <cfvo type="max"/>
        <color rgb="FFF8696B"/>
        <color rgb="FFFFEB84"/>
        <color rgb="FF63BE7B"/>
      </colorScale>
    </cfRule>
  </conditionalFormatting>
  <conditionalFormatting sqref="H9:H20">
    <cfRule type="containsText" dxfId="3" priority="3" operator="containsText" text="Chưa đạt"/>
    <cfRule type="containsText" dxfId="2" priority="4" operator="containsText" text="Đạt phần lớn"/>
  </conditionalFormatting>
  <conditionalFormatting sqref="L9:L20">
    <cfRule type="colorScale" priority="2">
      <colorScale>
        <cfvo type="min"/>
        <cfvo type="percentile" val="50"/>
        <cfvo type="max"/>
        <color rgb="FFF8696B"/>
        <color rgb="FFFFEB84"/>
        <color rgb="FF63BE7B"/>
      </colorScale>
    </cfRule>
  </conditionalFormatting>
  <conditionalFormatting sqref="M9:M20">
    <cfRule type="containsText" dxfId="1" priority="5" operator="containsText" text="Chưa đạt"/>
    <cfRule type="containsText" dxfId="0" priority="6" operator="containsText" text="Đạt phần lớn"/>
  </conditionalFormatting>
  <dataValidations count="1">
    <dataValidation type="whole" sqref="L9:L20" xr:uid="{00000000-0002-0000-0000-000000000000}">
      <formula1>0</formula1>
      <formula2>10</formula2>
    </dataValidation>
  </dataValidations>
  <pageMargins left="0.7" right="0.7" top="0.75" bottom="0.75" header="0.3" footer="0.3"/>
  <ignoredErrors>
    <ignoredError sqref="L9" listDataValidatio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Chấm điểm 12-Factor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Hải</cp:lastModifiedBy>
  <dcterms:modified xsi:type="dcterms:W3CDTF">2026-08-01T04:52:27Z</dcterms:modified>
</cp:coreProperties>
</file>